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AppData\Local\Temp\claude\C--Users-PM-Project-Ai-AtliQ-Lead-Capture--claude-worktrees-ai-product-prd-be57d2\d6d0f3fd-127b-4312-b3e9-ed8df6158091\scratchpad\"/>
    </mc:Choice>
  </mc:AlternateContent>
  <xr:revisionPtr revIDLastSave="0" documentId="13_ncr:1_{4DC1059C-5E7A-4DB6-BACF-70F1509983F9}" xr6:coauthVersionLast="47" xr6:coauthVersionMax="47" xr10:uidLastSave="{00000000-0000-0000-0000-000000000000}"/>
  <bookViews>
    <workbookView xWindow="760" yWindow="760" windowWidth="14400" windowHeight="8170" xr2:uid="{00000000-000D-0000-FFFF-FFFF00000000}"/>
  </bookViews>
  <sheets>
    <sheet name="Summary" sheetId="1" r:id="rId1"/>
    <sheet name="Inputs" sheetId="2" r:id="rId2"/>
    <sheet name="Agent Loop" sheetId="3" r:id="rId3"/>
    <sheet name="Cost Saving" sheetId="4" r:id="rId4"/>
    <sheet name="Assump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4" l="1"/>
  <c r="B16" i="1" s="1"/>
  <c r="B15" i="4"/>
  <c r="B8" i="4"/>
  <c r="B6" i="4"/>
  <c r="B7" i="4" s="1"/>
  <c r="B9" i="4" s="1"/>
  <c r="G49" i="3"/>
  <c r="E49" i="3"/>
  <c r="D49" i="3"/>
  <c r="C49" i="3"/>
  <c r="B49" i="3"/>
  <c r="F49" i="3" s="1"/>
  <c r="A49" i="3"/>
  <c r="G48" i="3"/>
  <c r="E48" i="3"/>
  <c r="D48" i="3"/>
  <c r="F48" i="3" s="1"/>
  <c r="C48" i="3"/>
  <c r="B48" i="3"/>
  <c r="A48" i="3"/>
  <c r="G47" i="3"/>
  <c r="E47" i="3"/>
  <c r="D47" i="3"/>
  <c r="C47" i="3"/>
  <c r="B47" i="3"/>
  <c r="F47" i="3" s="1"/>
  <c r="A47" i="3"/>
  <c r="G46" i="3"/>
  <c r="E46" i="3"/>
  <c r="D46" i="3"/>
  <c r="F46" i="3" s="1"/>
  <c r="B50" i="3" s="1"/>
  <c r="B18" i="1" s="1"/>
  <c r="C46" i="3"/>
  <c r="B46" i="3"/>
  <c r="A46" i="3"/>
  <c r="B40" i="3"/>
  <c r="B39" i="3"/>
  <c r="B37" i="3"/>
  <c r="G34" i="3"/>
  <c r="A34" i="3"/>
  <c r="G33" i="3"/>
  <c r="A33" i="3"/>
  <c r="G32" i="3"/>
  <c r="A32" i="3"/>
  <c r="G31" i="3"/>
  <c r="A31" i="3"/>
  <c r="C26" i="3"/>
  <c r="B26" i="3"/>
  <c r="D26" i="3" s="1"/>
  <c r="C25" i="3"/>
  <c r="B25" i="3"/>
  <c r="D25" i="3" s="1"/>
  <c r="C24" i="3"/>
  <c r="B24" i="3"/>
  <c r="D24" i="3" s="1"/>
  <c r="C23" i="3"/>
  <c r="B23" i="3"/>
  <c r="D23" i="3" s="1"/>
  <c r="C22" i="3"/>
  <c r="B22" i="3"/>
  <c r="D22" i="3" s="1"/>
  <c r="C21" i="3"/>
  <c r="B21" i="3"/>
  <c r="D21" i="3" s="1"/>
  <c r="C20" i="3"/>
  <c r="B20" i="3"/>
  <c r="D20" i="3" s="1"/>
  <c r="C19" i="3"/>
  <c r="B19" i="3"/>
  <c r="C18" i="3"/>
  <c r="B18" i="3"/>
  <c r="C17" i="3"/>
  <c r="B13" i="3"/>
  <c r="B12" i="3"/>
  <c r="B8" i="3"/>
  <c r="B7" i="3"/>
  <c r="B6" i="3"/>
  <c r="B5" i="3"/>
  <c r="B9" i="2"/>
  <c r="B5" i="4" s="1"/>
  <c r="F24" i="1"/>
  <c r="A24" i="1"/>
  <c r="F23" i="1"/>
  <c r="A23" i="1"/>
  <c r="F22" i="1"/>
  <c r="A22" i="1"/>
  <c r="F21" i="1"/>
  <c r="A21" i="1"/>
  <c r="B15" i="1"/>
  <c r="B7" i="1"/>
  <c r="B6" i="1"/>
  <c r="B5" i="1"/>
  <c r="B9" i="3" l="1"/>
  <c r="B17" i="3"/>
  <c r="B10" i="3"/>
  <c r="B11" i="1"/>
  <c r="B16" i="4"/>
  <c r="B25" i="4"/>
  <c r="B10" i="1" s="1"/>
  <c r="D33" i="3"/>
  <c r="D31" i="3"/>
  <c r="D34" i="3"/>
  <c r="D32" i="3"/>
  <c r="C31" i="3"/>
  <c r="C34" i="3"/>
  <c r="C33" i="3"/>
  <c r="C32" i="3"/>
  <c r="B11" i="3"/>
  <c r="B8" i="1"/>
  <c r="D18" i="3" l="1"/>
  <c r="D19" i="3"/>
  <c r="D17" i="3"/>
  <c r="B33" i="3"/>
  <c r="E33" i="3" s="1"/>
  <c r="B34" i="3"/>
  <c r="E34" i="3" s="1"/>
  <c r="B32" i="3"/>
  <c r="E32" i="3" s="1"/>
  <c r="B31" i="3"/>
  <c r="E31" i="3" s="1"/>
  <c r="F33" i="3" l="1"/>
  <c r="B23" i="1"/>
  <c r="C23" i="1" s="1"/>
  <c r="D23" i="1" s="1"/>
  <c r="E23" i="1" s="1"/>
  <c r="F34" i="3"/>
  <c r="B24" i="1"/>
  <c r="C24" i="1" s="1"/>
  <c r="D24" i="1" s="1"/>
  <c r="E24" i="1" s="1"/>
  <c r="F32" i="3"/>
  <c r="B22" i="1"/>
  <c r="C22" i="1" s="1"/>
  <c r="D22" i="1" s="1"/>
  <c r="E22" i="1" s="1"/>
  <c r="F31" i="3"/>
  <c r="B38" i="3"/>
  <c r="B41" i="3" s="1"/>
  <c r="B21" i="1"/>
  <c r="C21" i="1" s="1"/>
  <c r="D21" i="1" s="1"/>
  <c r="E21" i="1" s="1"/>
  <c r="B42" i="3" l="1"/>
  <c r="B9" i="1"/>
  <c r="B29" i="1" l="1"/>
  <c r="C29" i="1" s="1"/>
  <c r="B28" i="1"/>
  <c r="C28" i="1" s="1"/>
  <c r="B30" i="1"/>
  <c r="C30" i="1" s="1"/>
  <c r="B33" i="1"/>
  <c r="C33" i="1" s="1"/>
  <c r="B32" i="1"/>
  <c r="C32" i="1" s="1"/>
  <c r="B31" i="1"/>
  <c r="C31" i="1" s="1"/>
  <c r="B12" i="4"/>
  <c r="B17" i="4"/>
  <c r="B20" i="4" l="1"/>
  <c r="B12" i="1"/>
  <c r="B13" i="1" l="1"/>
  <c r="B24" i="4"/>
  <c r="B17" i="1" s="1"/>
  <c r="B22" i="4"/>
  <c r="B21" i="4"/>
  <c r="B14" i="1" s="1"/>
</calcChain>
</file>

<file path=xl/sharedStrings.xml><?xml version="1.0" encoding="utf-8"?>
<sst xmlns="http://schemas.openxmlformats.org/spreadsheetml/2006/main" count="190" uniqueCount="172">
  <si>
    <t>AI Agent Cost Estimate: AtliQ Lead Capture &amp; Follow-up Assistant</t>
  </si>
  <si>
    <t>LLM cost only: what the prototype as built spends on AI per conversation and per month (capture pipeline + on-demand email drafts and pipeline questions), compared across 4 models. Hosting and one-time costs excluded.</t>
  </si>
  <si>
    <t>Headline</t>
  </si>
  <si>
    <t>Agent model</t>
  </si>
  <si>
    <t>Monthly task volume</t>
  </si>
  <si>
    <t>LLM calls per task</t>
  </si>
  <si>
    <t>Tokens per task (input / output)</t>
  </si>
  <si>
    <t>All-in cost per task</t>
  </si>
  <si>
    <t>Break-even cost per task</t>
  </si>
  <si>
    <t>Monthly cost of human agents today</t>
  </si>
  <si>
    <t>Monthly cost with the AI agent (incl. on-demand)</t>
  </si>
  <si>
    <t>Monthly saving</t>
  </si>
  <si>
    <t>% saving</t>
  </si>
  <si>
    <t>Automation rate assumed</t>
  </si>
  <si>
    <t>One-time costs</t>
  </si>
  <si>
    <t>Payback period (months)</t>
  </si>
  <si>
    <t xml:space="preserve">  of which on-demand (email drafts + questions)</t>
  </si>
  <si>
    <t>Model comparison (monthly)</t>
  </si>
  <si>
    <t>Model</t>
  </si>
  <si>
    <t>Agent run cost (incl. on-demand)</t>
  </si>
  <si>
    <t>Total with agent</t>
  </si>
  <si>
    <t>Sensitivity: monthly saving by automation rate (selected model)</t>
  </si>
  <si>
    <t>Automation rate</t>
  </si>
  <si>
    <t>Inputs: AtliQ Lead Capture &amp; Follow-up Assistant</t>
  </si>
  <si>
    <t>Yellow cells are inputs. Change them and every sheet recalculates.</t>
  </si>
  <si>
    <t>Input (edit me)</t>
  </si>
  <si>
    <t>Calculated</t>
  </si>
  <si>
    <t>Headline result</t>
  </si>
  <si>
    <t>Task volume</t>
  </si>
  <si>
    <t>Tasks (conversations / requests) per day</t>
  </si>
  <si>
    <t>Days per month</t>
  </si>
  <si>
    <t>Agent loop (tokens)</t>
  </si>
  <si>
    <t>System prompt</t>
  </si>
  <si>
    <t>Tool definitions / output schema (per call)</t>
  </si>
  <si>
    <t>Strict JSON schema sent with every LLM call</t>
  </si>
  <si>
    <t>User request (the conversation, sent to each call)</t>
  </si>
  <si>
    <t>Retrieved context per task (RAG)</t>
  </si>
  <si>
    <t>0 if the agent has no knowledge base</t>
  </si>
  <si>
    <t>LLM calls per task (loop steps)</t>
  </si>
  <si>
    <t>Classify + extract + date check (cross-sell folded into the averages)</t>
  </si>
  <si>
    <t>Output tokens per intermediate call</t>
  </si>
  <si>
    <t>Classify ~105 and date check ~250, incl. reasoning</t>
  </si>
  <si>
    <t>Tool result tokens per step</t>
  </si>
  <si>
    <t>0: pipeline calls are independent, nothing is fed back</t>
  </si>
  <si>
    <t>Final call output tokens</t>
  </si>
  <si>
    <t>Extraction ~1,105 + cross-sell 25% x 300</t>
  </si>
  <si>
    <t>Retry / failed-call rate</t>
  </si>
  <si>
    <t>Extra LLM spend from retries and re-plans</t>
  </si>
  <si>
    <t>Prompt-cache hit share on static prefix</t>
  </si>
  <si>
    <t>0% if the provider or setup has no prompt caching</t>
  </si>
  <si>
    <t>LLM models (price per 1M tokens)</t>
  </si>
  <si>
    <t>Input ($)</t>
  </si>
  <si>
    <t>Cached input ($)</t>
  </si>
  <si>
    <t>Output ($)</t>
  </si>
  <si>
    <t>openai/gpt-oss-120b (Groq)</t>
  </si>
  <si>
    <t>openai/gpt-oss-20b (Groq)</t>
  </si>
  <si>
    <t>qwen/qwen3.8-27b (Groq, preview)</t>
  </si>
  <si>
    <t>Claude Haiku 4.5 (Anthropic)</t>
  </si>
  <si>
    <t>Agent model (business case)</t>
  </si>
  <si>
    <t>Pick from the list</t>
  </si>
  <si>
    <t>Guardrail / evaluator calls (per task)</t>
  </si>
  <si>
    <t>Guardrail model</t>
  </si>
  <si>
    <t>Usually a small, cheap model</t>
  </si>
  <si>
    <t>Guardrail calls per task</t>
  </si>
  <si>
    <t>Input tokens per guardrail call</t>
  </si>
  <si>
    <t>Output tokens per guardrail call</t>
  </si>
  <si>
    <t>Paid tools / APIs (per task, $)</t>
  </si>
  <si>
    <t>Tool</t>
  </si>
  <si>
    <t>Cost per call</t>
  </si>
  <si>
    <t>Calls per task</t>
  </si>
  <si>
    <t>CRM matching, grounding check, masking, reminder rules (deterministic code, no LLM)</t>
  </si>
  <si>
    <t>Infrastructure (monthly, $)</t>
  </si>
  <si>
    <t>Hosting (excluded: LLM cost only)</t>
  </si>
  <si>
    <t>Excluded by request</t>
  </si>
  <si>
    <t>One-time costs ($)</t>
  </si>
  <si>
    <t>None (LLM cost only)</t>
  </si>
  <si>
    <t>Development and go-live excluded by request</t>
  </si>
  <si>
    <t>Human baseline</t>
  </si>
  <si>
    <t>Tasks handled per human agent per day</t>
  </si>
  <si>
    <t>Manual CRM entry ~5 min per conversation (96 per 8-hour day); $4,000/month blended cost of the four sellers' time (user's figure)</t>
  </si>
  <si>
    <t>Salary per agent per month ($)</t>
  </si>
  <si>
    <t>Admin / overhead per agent per month ($)</t>
  </si>
  <si>
    <t>Automation rate (tasks the agent completes end to end)</t>
  </si>
  <si>
    <t>Escalations and human approvals stay with people</t>
  </si>
  <si>
    <t>On-demand AI features (per working day, whole team)</t>
  </si>
  <si>
    <t>Follow-up email drafts per day</t>
  </si>
  <si>
    <t>Draft reply on Follow-ups, Dashboard and Pipeline (assumption: ~5 per seller)</t>
  </si>
  <si>
    <t>Input tokens per email draft</t>
  </si>
  <si>
    <t>Rendered prompt avg 872 (6 deals) + ~70 chat-format overhead</t>
  </si>
  <si>
    <t>Output tokens per email draft</t>
  </si>
  <si>
    <t>~150-word email + quoted facts + reasoning (assumption)</t>
  </si>
  <si>
    <t>Pipeline questions per day (Ask AI)</t>
  </si>
  <si>
    <t>Assumption: ~4 per seller</t>
  </si>
  <si>
    <t>Input tokens per question</t>
  </si>
  <si>
    <t>Rendered prompt avg 2,996 (5 questions) + overhead; follow-up turns add history</t>
  </si>
  <si>
    <t>Output tokens per question</t>
  </si>
  <si>
    <t>Answer + cited quotes + reasoning (assumption)</t>
  </si>
  <si>
    <t>Agent Loop</t>
  </si>
  <si>
    <t>Each conversation runs 3 independent LLM calls; on-demand features are costed below</t>
  </si>
  <si>
    <t>Tokens per task</t>
  </si>
  <si>
    <t>Static prefix per call (system prompt + tools)</t>
  </si>
  <si>
    <t>Fixed context per call (user request + RAG context)</t>
  </si>
  <si>
    <t>History fed back per step (tool / earlier results)</t>
  </si>
  <si>
    <t>Total input tokens per task</t>
  </si>
  <si>
    <t>N x (prefix + fixed) + growth x N x (N-1) / 2</t>
  </si>
  <si>
    <t xml:space="preserve">  of which served from prompt cache</t>
  </si>
  <si>
    <t xml:space="preserve">  of which billed at full input price</t>
  </si>
  <si>
    <t>Total output tokens per task</t>
  </si>
  <si>
    <t>Step-by-step view (illustrative; totals above use the closed formula)</t>
  </si>
  <si>
    <t>Step</t>
  </si>
  <si>
    <t>Input tokens</t>
  </si>
  <si>
    <t>Output tokens</t>
  </si>
  <si>
    <t>Running total input</t>
  </si>
  <si>
    <t>Shows up to 10 steps. If you raise the step count above that, the totals stay correct.</t>
  </si>
  <si>
    <t>Cost per task by model</t>
  </si>
  <si>
    <t>Uncached input cost</t>
  </si>
  <si>
    <t>Cached input cost</t>
  </si>
  <si>
    <t>Output cost</t>
  </si>
  <si>
    <t>LLM cost per task (incl. retries)</t>
  </si>
  <si>
    <t>Monthly LLM cost</t>
  </si>
  <si>
    <t>All-in cost per task (selected model)</t>
  </si>
  <si>
    <t>LLM cost per task</t>
  </si>
  <si>
    <t>Guardrail cost per task</t>
  </si>
  <si>
    <t>Paid tool / API cost per task</t>
  </si>
  <si>
    <t>Total cost per task</t>
  </si>
  <si>
    <t>Monthly AI run cost (capture + on-demand)</t>
  </si>
  <si>
    <t>On-demand AI features: monthly cost by model</t>
  </si>
  <si>
    <t>Email drafts / month</t>
  </si>
  <si>
    <t>Questions / month</t>
  </si>
  <si>
    <t>Email draft cost</t>
  </si>
  <si>
    <t>Question cost</t>
  </si>
  <si>
    <t>Monthly on-demand cost</t>
  </si>
  <si>
    <t>Monthly on-demand cost (selected model)</t>
  </si>
  <si>
    <t>Cost Saving</t>
  </si>
  <si>
    <t>Human team today vs the AI agent with human escalation</t>
  </si>
  <si>
    <t>Human agents today</t>
  </si>
  <si>
    <t>Tasks handled per agent per month</t>
  </si>
  <si>
    <t>Human agents required (FTE)</t>
  </si>
  <si>
    <t>Fractional FTE; round up when hiring</t>
  </si>
  <si>
    <t>Cost per agent per month</t>
  </si>
  <si>
    <t>Total monthly cost of human agents</t>
  </si>
  <si>
    <t>AI agent</t>
  </si>
  <si>
    <t>Agent run cost (LLM + guardrails + tools)</t>
  </si>
  <si>
    <t>Embeddings</t>
  </si>
  <si>
    <t>No knowledge base in this estimate</t>
  </si>
  <si>
    <t>Infrastructure</t>
  </si>
  <si>
    <t>Human agents still needed (escalations)</t>
  </si>
  <si>
    <t>Human cost x (1 - automation rate)</t>
  </si>
  <si>
    <t>Total monthly cost with the AI agent</t>
  </si>
  <si>
    <t>Saving</t>
  </si>
  <si>
    <t>Annual saving</t>
  </si>
  <si>
    <t>Break-even cost per task (saving = 0)</t>
  </si>
  <si>
    <t>The agent stops saving money above this all-in cost per task</t>
  </si>
  <si>
    <t>Assumptions and notes</t>
  </si>
  <si>
    <t>• Scope: LLM cost only for the prototype as built on 9 Oct 2026. Hosting, infrastructure, development and go-live costs are excluded by request.</t>
  </si>
  <si>
    <t>• Prices (per 1M tokens, checked 7 Oct 2026): openai/gpt-oss-120b $0.15 in / $0.60 out and openai/gpt-oss-20b $0.075 / $0.30 (console.groq.com/docs/models); qwen/qwen3.8-27b $0.80 / $4.00 (Groq preview model, same page); Claude Haiku 4.5 $1 / $5 (platform.claude.com/docs/en/about-claude/pricing). The app currently runs on gpt-oss-120b.</t>
  </si>
  <si>
    <t>• A 'task' is one captured sales conversation (email thread, meeting note or shared LinkedIn chat): 100 per working day across the 4 sellers, 22 working days a month (user's choice).</t>
  </si>
  <si>
    <t>• Three LLM calls per captured conversation: (1) classify (new lead, existing deal, existing client, internal note about several deals, not sales), (2) extract CRM fields, summary, follow-ups and new needs, (3) date check for revisit dates and deferrals. CRM matching, masking, grounding and reminder rules are code.</t>
  </si>
  <si>
    <t>• Measured live on 9 Oct 2026 (openai/gpt-oss-120b on Groq, 4 sample conversations): classify ~690 in / ~105 out, extract ~2,780 in / ~1,105 out, date check ~836 in / ~250 out tokens. The workbook spreads this as 3 calls x 1,488 input tokens (690 prompt + 278 schema + 520 conversation).</t>
  </si>
  <si>
    <t>• Cross-sell (existing clients, ~25% of conversations, ~630 in / ~300 out) is folded into the final-call output. Internal notes about several deals (~5%) run one split call (~860 in) instead of extract + date check, so they cost less and are not modelled separately.</t>
  </si>
  <si>
    <t>• On-demand features: follow-up email drafts (~940 in / ~450 out) and Ask your pipeline questions (~3,070 in / ~600 out, first turn; each follow-up turn resends the chat history). Input sizes are the app's real prompts rendered against the CRM and counted with the o200k tokenizer plus ~70 tokens of chat-format overhead (calibrated against the live classify calls); output sizes are assumptions.</t>
  </si>
  <si>
    <t>• Retry rate 10% (rate-limit retries and a single warmer retry when the provider rejects malformed JSON).</t>
  </si>
  <si>
    <t>• Prompt caching is not counted (0% cache hits), which is conservative. Groq caches gpt-oss prompts automatically at 50% off; Claude needs explicit cache markers and a longer prefix than this app sends, and charges 1.25x for cache writes.</t>
  </si>
  <si>
    <t>• The same token counts are used for every model. Other tokenizers and reasoning lengths differ by roughly ±30% (Claude's newer models produce more tokens for the same text), so compare models on order of magnitude.</t>
  </si>
  <si>
    <t>• No LLM guardrail call: masking, the evidence check against the source and exclusion rules are code, and the owner confirms every draft.</t>
  </si>
  <si>
    <t>• The Cost Saving sheet is kept for reference only (4 sellers' time at $4,000/month, ~5 min manual CRM entry per conversation, 70% time saved = PRD target). It does not affect the LLM cost figures.</t>
  </si>
  <si>
    <t>• Every LLM call in the loop resends the system prompt, the tool definitions, the user request, the retrieved context and all earlier steps, so input tokens grow roughly with the square of the number of calls.</t>
  </si>
  <si>
    <t>• Input tokens per task = N x (prefix + fixed context) + growth per step x N x (N-1) / 2; output tokens = (N-1) x step output + final answer.</t>
  </si>
  <si>
    <t>• Prompt caching only discounts the static prefix (system prompt + tools), billed at the cached-input price.</t>
  </si>
  <si>
    <t>• The agent run cost assumes the agent attempts every task; escalated tasks also cost human time (Human cost x (1 - automation rate)).</t>
  </si>
  <si>
    <t>• Prices change often. Check the provider's current price list before sharing the estimate.</t>
  </si>
  <si>
    <t>• Volumes: 20 email drafts and 15 pipeline questions per working day across the 4 sellers are assumptions (edit Inputs rows 54-59). The free Groq tier (200,000 tokens per day for this model) ran out during prototype testing; 100 conversations a day needs ~600,000 tokens, so a paid tier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</si>
</sst>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0000"/>
    <numFmt numFmtId="165" formatCode="&quot;$&quot;#,##0.00"/>
    <numFmt numFmtId="166" formatCode="0.0%"/>
  </numFmts>
  <fonts count="9">
    <font>
      <sz val="11"/>
      <color theme="1"/>
      <name val="Calibri"/>
      <family val="2"/>
      <scheme val="minor"/>
    </font>
    <font>
      <b/>
      <sz val="16"/>
      <color rgb="FF1F3864"/>
      <name val="Calibri"/>
    </font>
    <font>
      <i/>
      <sz val="10"/>
      <color rgb="FF7F7F7F"/>
      <name val="Calibri"/>
    </font>
    <font>
      <sz val="11"/>
      <color rgb="FF0000FF"/>
      <name val="Calibri"/>
    </font>
    <font>
      <sz val="11"/>
      <name val="Calibri"/>
    </font>
    <font>
      <b/>
      <sz val="11"/>
      <name val="Calibri"/>
    </font>
    <font>
      <b/>
      <sz val="11"/>
      <color rgb="FFFFFFFF"/>
      <name val="Calibri"/>
    </font>
    <font>
      <i/>
      <sz val="9"/>
      <color rgb="FF7F7F7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E2EFDA"/>
      </patternFill>
    </fill>
    <fill>
      <patternFill patternType="solid">
        <fgColor rgb="FF1F3864"/>
      </patternFill>
    </fill>
    <fill>
      <patternFill patternType="solid">
        <fgColor rgb="FF2E75B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6" fillId="4" borderId="0" xfId="0" applyFont="1" applyFill="1"/>
    <xf numFmtId="0" fontId="0" fillId="4" borderId="0" xfId="0" applyFill="1"/>
    <xf numFmtId="0" fontId="4" fillId="0" borderId="1" xfId="0" applyFont="1" applyBorder="1" applyAlignment="1">
      <alignment vertical="center" wrapText="1"/>
    </xf>
    <xf numFmtId="0" fontId="4" fillId="0" borderId="1" xfId="0" applyFont="1" applyBorder="1" applyAlignment="1">
      <alignment horizontal="right" vertical="center"/>
    </xf>
    <xf numFmtId="3" fontId="4" fillId="0" borderId="1" xfId="0" applyNumberFormat="1" applyFont="1" applyBorder="1" applyAlignment="1">
      <alignment horizontal="right" vertical="center"/>
    </xf>
    <xf numFmtId="0" fontId="5" fillId="0" borderId="1" xfId="0" applyFont="1" applyBorder="1" applyAlignment="1">
      <alignment vertical="center" wrapText="1"/>
    </xf>
    <xf numFmtId="164" fontId="5" fillId="3" borderId="1" xfId="0" applyNumberFormat="1" applyFont="1" applyFill="1" applyBorder="1" applyAlignment="1">
      <alignment horizontal="right" vertical="center"/>
    </xf>
    <xf numFmtId="164" fontId="4" fillId="0" borderId="1" xfId="0" applyNumberFormat="1" applyFont="1" applyBorder="1" applyAlignment="1">
      <alignment horizontal="right" vertical="center"/>
    </xf>
    <xf numFmtId="165" fontId="4" fillId="0" borderId="1" xfId="0" applyNumberFormat="1" applyFont="1" applyBorder="1" applyAlignment="1">
      <alignment horizontal="right" vertical="center"/>
    </xf>
    <xf numFmtId="165" fontId="5" fillId="3" borderId="1" xfId="0" applyNumberFormat="1" applyFont="1" applyFill="1" applyBorder="1" applyAlignment="1">
      <alignment horizontal="right" vertical="center"/>
    </xf>
    <xf numFmtId="166" fontId="5" fillId="3" borderId="1" xfId="0" applyNumberFormat="1" applyFont="1" applyFill="1" applyBorder="1" applyAlignment="1">
      <alignment horizontal="right" vertical="center"/>
    </xf>
    <xf numFmtId="166" fontId="4" fillId="0" borderId="1" xfId="0" applyNumberFormat="1" applyFont="1" applyBorder="1" applyAlignment="1">
      <alignment horizontal="right" vertical="center"/>
    </xf>
    <xf numFmtId="4" fontId="4" fillId="0" borderId="1" xfId="0" applyNumberFormat="1" applyFont="1" applyBorder="1" applyAlignment="1">
      <alignment horizontal="right" vertical="center"/>
    </xf>
    <xf numFmtId="0" fontId="8" fillId="5"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166" fontId="3" fillId="2" borderId="1" xfId="0" applyNumberFormat="1" applyFont="1" applyFill="1" applyBorder="1" applyAlignment="1">
      <alignment horizontal="center"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3" borderId="1" xfId="0" applyFont="1" applyFill="1" applyBorder="1" applyAlignment="1">
      <alignment horizontal="left" vertical="center" wrapText="1"/>
    </xf>
    <xf numFmtId="3" fontId="3" fillId="2" borderId="1" xfId="0" applyNumberFormat="1" applyFont="1" applyFill="1" applyBorder="1" applyAlignment="1">
      <alignment horizontal="right" vertical="center"/>
    </xf>
    <xf numFmtId="0" fontId="7" fillId="0" borderId="0" xfId="0" applyFont="1" applyAlignment="1">
      <alignment vertical="center"/>
    </xf>
    <xf numFmtId="166" fontId="3" fillId="2" borderId="1" xfId="0" applyNumberFormat="1" applyFont="1" applyFill="1" applyBorder="1" applyAlignment="1">
      <alignment horizontal="right" vertical="center"/>
    </xf>
    <xf numFmtId="165" fontId="3" fillId="2" borderId="1"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4" fontId="3" fillId="2" borderId="1" xfId="0" applyNumberFormat="1" applyFont="1" applyFill="1" applyBorder="1" applyAlignment="1">
      <alignment horizontal="right" vertical="center"/>
    </xf>
    <xf numFmtId="3" fontId="5" fillId="3" borderId="1" xfId="0" applyNumberFormat="1" applyFont="1" applyFill="1" applyBorder="1" applyAlignment="1">
      <alignment horizontal="right" vertical="center"/>
    </xf>
    <xf numFmtId="3" fontId="4" fillId="0" borderId="1" xfId="0" applyNumberFormat="1" applyFont="1" applyBorder="1" applyAlignment="1">
      <alignment horizontal="center" vertical="center"/>
    </xf>
    <xf numFmtId="0" fontId="7"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workbookViewId="0"/>
  </sheetViews>
  <sheetFormatPr defaultRowHeight="14.5"/>
  <cols>
    <col min="1" max="1" width="46" customWidth="1"/>
    <col min="2" max="5" width="20" customWidth="1"/>
    <col min="6" max="6" width="16" customWidth="1"/>
  </cols>
  <sheetData>
    <row r="1" spans="1:6" ht="26" customHeight="1">
      <c r="A1" s="1" t="s">
        <v>0</v>
      </c>
    </row>
    <row r="2" spans="1:6">
      <c r="A2" s="2" t="s">
        <v>1</v>
      </c>
    </row>
    <row r="4" spans="1:6">
      <c r="A4" s="3" t="s">
        <v>2</v>
      </c>
      <c r="B4" s="4"/>
      <c r="C4" s="4"/>
      <c r="D4" s="4"/>
      <c r="E4" s="4"/>
      <c r="F4" s="4"/>
    </row>
    <row r="5" spans="1:6">
      <c r="A5" s="5" t="s">
        <v>3</v>
      </c>
      <c r="B5" s="6" t="str">
        <f>Inputs!$B$29</f>
        <v>openai/gpt-oss-120b (Groq)</v>
      </c>
    </row>
    <row r="6" spans="1:6">
      <c r="A6" s="5" t="s">
        <v>4</v>
      </c>
      <c r="B6" s="7">
        <f>Inputs!$B$9</f>
        <v>2200</v>
      </c>
    </row>
    <row r="7" spans="1:6">
      <c r="A7" s="5" t="s">
        <v>5</v>
      </c>
      <c r="B7" s="7">
        <f>Inputs!$B$16</f>
        <v>3</v>
      </c>
    </row>
    <row r="8" spans="1:6">
      <c r="A8" s="5" t="s">
        <v>6</v>
      </c>
      <c r="B8" s="6" t="str">
        <f>TEXT('Agent Loop'!$B$9,"#,##0")&amp;" / "&amp;TEXT('Agent Loop'!$B$12,"#,##0")</f>
        <v>4,464 / 1,535</v>
      </c>
    </row>
    <row r="9" spans="1:6">
      <c r="A9" s="8" t="s">
        <v>7</v>
      </c>
      <c r="B9" s="9">
        <f>'Agent Loop'!$B$41</f>
        <v>1.7496600000000003E-3</v>
      </c>
    </row>
    <row r="10" spans="1:6">
      <c r="A10" s="5" t="s">
        <v>8</v>
      </c>
      <c r="B10" s="10">
        <f>'Cost Saving'!$B$25</f>
        <v>1.3257575757575759</v>
      </c>
    </row>
    <row r="11" spans="1:6">
      <c r="A11" s="5" t="s">
        <v>9</v>
      </c>
      <c r="B11" s="11">
        <f>'Cost Saving'!$B$9</f>
        <v>4166.666666666667</v>
      </c>
    </row>
    <row r="12" spans="1:6">
      <c r="A12" s="8" t="s">
        <v>10</v>
      </c>
      <c r="B12" s="12">
        <f>'Cost Saving'!$B$17</f>
        <v>1254.3460175000002</v>
      </c>
    </row>
    <row r="13" spans="1:6">
      <c r="A13" s="8" t="s">
        <v>11</v>
      </c>
      <c r="B13" s="12">
        <f>'Cost Saving'!$B$20</f>
        <v>2912.320649166667</v>
      </c>
    </row>
    <row r="14" spans="1:6">
      <c r="A14" s="8" t="s">
        <v>12</v>
      </c>
      <c r="B14" s="13">
        <f>'Cost Saving'!$B$21</f>
        <v>0.69895695580000006</v>
      </c>
    </row>
    <row r="15" spans="1:6">
      <c r="A15" s="5" t="s">
        <v>13</v>
      </c>
      <c r="B15" s="14">
        <f>Inputs!$B$51</f>
        <v>0.7</v>
      </c>
    </row>
    <row r="16" spans="1:6">
      <c r="A16" s="5" t="s">
        <v>14</v>
      </c>
      <c r="B16" s="11">
        <f>'Cost Saving'!$B$23</f>
        <v>0</v>
      </c>
    </row>
    <row r="17" spans="1:6">
      <c r="A17" s="5" t="s">
        <v>15</v>
      </c>
      <c r="B17" s="15">
        <f>'Cost Saving'!$B$24</f>
        <v>0</v>
      </c>
    </row>
    <row r="18" spans="1:6">
      <c r="A18" s="5" t="s">
        <v>16</v>
      </c>
      <c r="B18" s="12">
        <f>'Agent Loop'!$B$50</f>
        <v>0.49676550000000008</v>
      </c>
    </row>
    <row r="19" spans="1:6">
      <c r="A19" s="3" t="s">
        <v>17</v>
      </c>
      <c r="B19" s="4"/>
      <c r="C19" s="4"/>
      <c r="D19" s="4"/>
      <c r="E19" s="4"/>
      <c r="F19" s="4"/>
    </row>
    <row r="20" spans="1:6" ht="30" customHeight="1">
      <c r="A20" s="16" t="s">
        <v>18</v>
      </c>
      <c r="B20" s="16" t="s">
        <v>19</v>
      </c>
      <c r="C20" s="16" t="s">
        <v>20</v>
      </c>
      <c r="D20" s="16" t="s">
        <v>11</v>
      </c>
      <c r="E20" s="16" t="s">
        <v>12</v>
      </c>
      <c r="F20" s="16"/>
    </row>
    <row r="21" spans="1:6">
      <c r="A21" s="17" t="str">
        <f>Inputs!$A$25</f>
        <v>openai/gpt-oss-120b (Groq)</v>
      </c>
      <c r="B21" s="11">
        <f>('Agent Loop'!$E$31+'Agent Loop'!$B$39+'Agent Loop'!$B$40)*Inputs!$B$9+'Agent Loop'!$F$46</f>
        <v>4.3460175000000012</v>
      </c>
      <c r="C21" s="11">
        <f>Summary!$B$21+'Cost Saving'!$B$13+'Cost Saving'!$B$15+'Cost Saving'!$B$16</f>
        <v>1254.3460175000002</v>
      </c>
      <c r="D21" s="11">
        <f>'Cost Saving'!$B$9-Summary!$C$21</f>
        <v>2912.320649166667</v>
      </c>
      <c r="E21" s="14">
        <f>IF('Cost Saving'!$B$9=0,0,Summary!$D$21/'Cost Saving'!$B$9)</f>
        <v>0.69895695580000006</v>
      </c>
      <c r="F21" s="18" t="str">
        <f>IF(Inputs!$A$25=Inputs!$B$29,"Selected","")</f>
        <v>Selected</v>
      </c>
    </row>
    <row r="22" spans="1:6">
      <c r="A22" s="17" t="str">
        <f>Inputs!$A$26</f>
        <v>openai/gpt-oss-20b (Groq)</v>
      </c>
      <c r="B22" s="11">
        <f>('Agent Loop'!$E$32+'Agent Loop'!$B$39+'Agent Loop'!$B$40)*Inputs!$B$9+'Agent Loop'!$F$47</f>
        <v>2.1730087500000006</v>
      </c>
      <c r="C22" s="11">
        <f>Summary!$B$22+'Cost Saving'!$B$13+'Cost Saving'!$B$15+'Cost Saving'!$B$16</f>
        <v>1252.1730087500002</v>
      </c>
      <c r="D22" s="11">
        <f>'Cost Saving'!$B$9-Summary!$C$22</f>
        <v>2914.493657916667</v>
      </c>
      <c r="E22" s="14">
        <f>IF('Cost Saving'!$B$9=0,0,Summary!$D$22/'Cost Saving'!$B$9)</f>
        <v>0.69947847790000006</v>
      </c>
      <c r="F22" s="18" t="str">
        <f>IF(Inputs!$A$26=Inputs!$B$29,"Selected","")</f>
        <v/>
      </c>
    </row>
    <row r="23" spans="1:6">
      <c r="A23" s="17" t="str">
        <f>Inputs!$A$27</f>
        <v>qwen/qwen3.8-27b (Groq, preview)</v>
      </c>
      <c r="B23" s="11">
        <f>('Agent Loop'!$E$33+'Agent Loop'!$B$39+'Agent Loop'!$B$40)*Inputs!$B$9+'Agent Loop'!$F$48</f>
        <v>26.499000000000002</v>
      </c>
      <c r="C23" s="11">
        <f>Summary!$B$23+'Cost Saving'!$B$13+'Cost Saving'!$B$15+'Cost Saving'!$B$16</f>
        <v>1276.4990000000003</v>
      </c>
      <c r="D23" s="11">
        <f>'Cost Saving'!$B$9-Summary!$C$23</f>
        <v>2890.1676666666667</v>
      </c>
      <c r="E23" s="14">
        <f>IF('Cost Saving'!$B$9=0,0,Summary!$D$23/'Cost Saving'!$B$9)</f>
        <v>0.69364023999999991</v>
      </c>
      <c r="F23" s="18" t="str">
        <f>IF(Inputs!$A$27=Inputs!$B$29,"Selected","")</f>
        <v/>
      </c>
    </row>
    <row r="24" spans="1:6">
      <c r="A24" s="17" t="str">
        <f>Inputs!$A$28</f>
        <v>Claude Haiku 4.5 (Anthropic)</v>
      </c>
      <c r="B24" s="11">
        <f>('Agent Loop'!$E$34+'Agent Loop'!$B$39+'Agent Loop'!$B$40)*Inputs!$B$9+'Agent Loop'!$F$49</f>
        <v>33.123750000000001</v>
      </c>
      <c r="C24" s="11">
        <f>Summary!$B$24+'Cost Saving'!$B$13+'Cost Saving'!$B$15+'Cost Saving'!$B$16</f>
        <v>1283.1237500000002</v>
      </c>
      <c r="D24" s="11">
        <f>'Cost Saving'!$B$9-Summary!$C$24</f>
        <v>2883.5429166666668</v>
      </c>
      <c r="E24" s="14">
        <f>IF('Cost Saving'!$B$9=0,0,Summary!$D$24/'Cost Saving'!$B$9)</f>
        <v>0.69205030000000001</v>
      </c>
      <c r="F24" s="18" t="str">
        <f>IF(Inputs!$A$28=Inputs!$B$29,"Selected","")</f>
        <v/>
      </c>
    </row>
    <row r="26" spans="1:6">
      <c r="A26" s="3" t="s">
        <v>21</v>
      </c>
      <c r="B26" s="4"/>
      <c r="C26" s="4"/>
      <c r="D26" s="4"/>
      <c r="E26" s="4"/>
      <c r="F26" s="4"/>
    </row>
    <row r="27" spans="1:6" ht="30" customHeight="1">
      <c r="A27" s="16" t="s">
        <v>22</v>
      </c>
      <c r="B27" s="16" t="s">
        <v>11</v>
      </c>
      <c r="C27" s="16" t="s">
        <v>12</v>
      </c>
    </row>
    <row r="28" spans="1:6">
      <c r="A28" s="19">
        <v>0.4</v>
      </c>
      <c r="B28" s="11">
        <f>'Cost Saving'!$B$9*Summary!$A$28-'Agent Loop'!$B$42-'Cost Saving'!$B$13-'Cost Saving'!$B$15</f>
        <v>1662.320649166667</v>
      </c>
      <c r="C28" s="14">
        <f>IF('Cost Saving'!$B$9=0,0,Summary!$B$28/'Cost Saving'!$B$9)</f>
        <v>0.39895695580000001</v>
      </c>
    </row>
    <row r="29" spans="1:6">
      <c r="A29" s="19">
        <v>0.5</v>
      </c>
      <c r="B29" s="11">
        <f>'Cost Saving'!$B$9*Summary!$A$29-'Agent Loop'!$B$42-'Cost Saving'!$B$13-'Cost Saving'!$B$15</f>
        <v>2078.9873158333335</v>
      </c>
      <c r="C29" s="14">
        <f>IF('Cost Saving'!$B$9=0,0,Summary!$B$29/'Cost Saving'!$B$9)</f>
        <v>0.49895695579999999</v>
      </c>
    </row>
    <row r="30" spans="1:6">
      <c r="A30" s="19">
        <v>0.6</v>
      </c>
      <c r="B30" s="11">
        <f>'Cost Saving'!$B$9*Summary!$A$30-'Agent Loop'!$B$42-'Cost Saving'!$B$13-'Cost Saving'!$B$15</f>
        <v>2495.6539825</v>
      </c>
      <c r="C30" s="14">
        <f>IF('Cost Saving'!$B$9=0,0,Summary!$B$30/'Cost Saving'!$B$9)</f>
        <v>0.59895695579999997</v>
      </c>
    </row>
    <row r="31" spans="1:6">
      <c r="A31" s="19">
        <v>0.7</v>
      </c>
      <c r="B31" s="11">
        <f>'Cost Saving'!$B$9*Summary!$A$31-'Agent Loop'!$B$42-'Cost Saving'!$B$13-'Cost Saving'!$B$15</f>
        <v>2912.3206491666665</v>
      </c>
      <c r="C31" s="14">
        <f>IF('Cost Saving'!$B$9=0,0,Summary!$B$31/'Cost Saving'!$B$9)</f>
        <v>0.69895695579999995</v>
      </c>
    </row>
    <row r="32" spans="1:6">
      <c r="A32" s="19">
        <v>0.8</v>
      </c>
      <c r="B32" s="11">
        <f>'Cost Saving'!$B$9*Summary!$A$32-'Agent Loop'!$B$42-'Cost Saving'!$B$13-'Cost Saving'!$B$15</f>
        <v>3328.9873158333339</v>
      </c>
      <c r="C32" s="14">
        <f>IF('Cost Saving'!$B$9=0,0,Summary!$B$32/'Cost Saving'!$B$9)</f>
        <v>0.79895695580000003</v>
      </c>
    </row>
    <row r="33" spans="1:3">
      <c r="A33" s="19">
        <v>0.9</v>
      </c>
      <c r="B33" s="11">
        <f>'Cost Saving'!$B$9*Summary!$A$33-'Agent Loop'!$B$42-'Cost Saving'!$B$13-'Cost Saving'!$B$15</f>
        <v>3745.6539825000004</v>
      </c>
      <c r="C33" s="14">
        <f>IF('Cost Saving'!$B$9=0,0,Summary!$B$33/'Cost Saving'!$B$9)</f>
        <v>0.89895695580000001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showGridLines="0" workbookViewId="0"/>
  </sheetViews>
  <sheetFormatPr defaultRowHeight="14.5"/>
  <cols>
    <col min="1" max="1" width="44" customWidth="1"/>
    <col min="2" max="6" width="16" customWidth="1"/>
    <col min="7" max="7" width="50" customWidth="1"/>
  </cols>
  <sheetData>
    <row r="1" spans="1:7" ht="26" customHeight="1">
      <c r="A1" s="1" t="s">
        <v>23</v>
      </c>
    </row>
    <row r="2" spans="1:7">
      <c r="A2" s="2" t="s">
        <v>24</v>
      </c>
    </row>
    <row r="4" spans="1:7">
      <c r="A4" s="20" t="s">
        <v>25</v>
      </c>
      <c r="B4" s="21" t="s">
        <v>26</v>
      </c>
      <c r="C4" s="22" t="s">
        <v>27</v>
      </c>
    </row>
    <row r="6" spans="1:7">
      <c r="A6" s="3" t="s">
        <v>28</v>
      </c>
      <c r="B6" s="4"/>
      <c r="C6" s="4"/>
      <c r="D6" s="4"/>
      <c r="E6" s="4"/>
      <c r="F6" s="4"/>
      <c r="G6" s="4"/>
    </row>
    <row r="7" spans="1:7">
      <c r="A7" s="5" t="s">
        <v>29</v>
      </c>
      <c r="B7" s="23">
        <v>100</v>
      </c>
    </row>
    <row r="8" spans="1:7">
      <c r="A8" s="5" t="s">
        <v>30</v>
      </c>
      <c r="B8" s="23">
        <v>22</v>
      </c>
    </row>
    <row r="9" spans="1:7">
      <c r="A9" s="5" t="s">
        <v>4</v>
      </c>
      <c r="B9" s="7">
        <f>Inputs!$B$7*Inputs!$B$8</f>
        <v>2200</v>
      </c>
    </row>
    <row r="11" spans="1:7">
      <c r="A11" s="3" t="s">
        <v>31</v>
      </c>
      <c r="B11" s="4"/>
      <c r="C11" s="4"/>
      <c r="D11" s="4"/>
      <c r="E11" s="4"/>
      <c r="F11" s="4"/>
      <c r="G11" s="4"/>
    </row>
    <row r="12" spans="1:7">
      <c r="A12" s="5" t="s">
        <v>32</v>
      </c>
      <c r="B12" s="23">
        <v>690</v>
      </c>
    </row>
    <row r="13" spans="1:7">
      <c r="A13" s="5" t="s">
        <v>33</v>
      </c>
      <c r="B13" s="23">
        <v>278</v>
      </c>
      <c r="C13" s="24" t="s">
        <v>34</v>
      </c>
    </row>
    <row r="14" spans="1:7">
      <c r="A14" s="5" t="s">
        <v>35</v>
      </c>
      <c r="B14" s="23">
        <v>520</v>
      </c>
    </row>
    <row r="15" spans="1:7">
      <c r="A15" s="5" t="s">
        <v>36</v>
      </c>
      <c r="B15" s="23">
        <v>0</v>
      </c>
      <c r="C15" s="24" t="s">
        <v>37</v>
      </c>
    </row>
    <row r="16" spans="1:7">
      <c r="A16" s="5" t="s">
        <v>38</v>
      </c>
      <c r="B16" s="23">
        <v>3</v>
      </c>
      <c r="C16" s="24" t="s">
        <v>39</v>
      </c>
    </row>
    <row r="17" spans="1:7">
      <c r="A17" s="5" t="s">
        <v>40</v>
      </c>
      <c r="B17" s="23">
        <v>178</v>
      </c>
      <c r="C17" s="24" t="s">
        <v>41</v>
      </c>
    </row>
    <row r="18" spans="1:7">
      <c r="A18" s="5" t="s">
        <v>42</v>
      </c>
      <c r="B18" s="23">
        <v>0</v>
      </c>
      <c r="C18" s="24" t="s">
        <v>43</v>
      </c>
    </row>
    <row r="19" spans="1:7">
      <c r="A19" s="5" t="s">
        <v>44</v>
      </c>
      <c r="B19" s="23">
        <v>1179</v>
      </c>
      <c r="C19" t="s">
        <v>45</v>
      </c>
    </row>
    <row r="20" spans="1:7">
      <c r="A20" s="5" t="s">
        <v>46</v>
      </c>
      <c r="B20" s="25">
        <v>0.1</v>
      </c>
      <c r="C20" s="24" t="s">
        <v>47</v>
      </c>
    </row>
    <row r="21" spans="1:7">
      <c r="A21" s="5" t="s">
        <v>48</v>
      </c>
      <c r="B21" s="25">
        <v>0</v>
      </c>
      <c r="C21" s="24" t="s">
        <v>49</v>
      </c>
    </row>
    <row r="23" spans="1:7">
      <c r="A23" s="3" t="s">
        <v>50</v>
      </c>
      <c r="B23" s="4"/>
      <c r="C23" s="4"/>
      <c r="D23" s="4"/>
      <c r="E23" s="4"/>
      <c r="F23" s="4"/>
      <c r="G23" s="4"/>
    </row>
    <row r="24" spans="1:7" ht="30" customHeight="1">
      <c r="A24" s="16" t="s">
        <v>18</v>
      </c>
      <c r="B24" s="16" t="s">
        <v>51</v>
      </c>
      <c r="C24" s="16" t="s">
        <v>52</v>
      </c>
      <c r="D24" s="16" t="s">
        <v>53</v>
      </c>
    </row>
    <row r="25" spans="1:7">
      <c r="A25" s="20" t="s">
        <v>54</v>
      </c>
      <c r="B25" s="26">
        <v>0.15</v>
      </c>
      <c r="C25" s="26">
        <v>7.4999999999999997E-2</v>
      </c>
      <c r="D25" s="26">
        <v>0.6</v>
      </c>
    </row>
    <row r="26" spans="1:7">
      <c r="A26" s="20" t="s">
        <v>55</v>
      </c>
      <c r="B26" s="26">
        <v>7.4999999999999997E-2</v>
      </c>
      <c r="C26" s="26">
        <v>3.7499999999999999E-2</v>
      </c>
      <c r="D26" s="26">
        <v>0.3</v>
      </c>
    </row>
    <row r="27" spans="1:7">
      <c r="A27" s="20" t="s">
        <v>56</v>
      </c>
      <c r="B27" s="26">
        <v>0.8</v>
      </c>
      <c r="C27" s="26">
        <v>0.8</v>
      </c>
      <c r="D27" s="26">
        <v>4</v>
      </c>
    </row>
    <row r="28" spans="1:7">
      <c r="A28" s="20" t="s">
        <v>57</v>
      </c>
      <c r="B28" s="26">
        <v>1</v>
      </c>
      <c r="C28" s="26">
        <v>0.1</v>
      </c>
      <c r="D28" s="26">
        <v>5</v>
      </c>
    </row>
    <row r="29" spans="1:7" ht="29">
      <c r="A29" s="5" t="s">
        <v>58</v>
      </c>
      <c r="B29" s="20" t="s">
        <v>54</v>
      </c>
      <c r="C29" s="24" t="s">
        <v>59</v>
      </c>
    </row>
    <row r="31" spans="1:7">
      <c r="A31" s="3" t="s">
        <v>60</v>
      </c>
      <c r="B31" s="4"/>
      <c r="C31" s="4"/>
      <c r="D31" s="4"/>
      <c r="E31" s="4"/>
      <c r="F31" s="4"/>
      <c r="G31" s="4"/>
    </row>
    <row r="32" spans="1:7" ht="29">
      <c r="A32" s="5" t="s">
        <v>61</v>
      </c>
      <c r="B32" s="20" t="s">
        <v>54</v>
      </c>
      <c r="C32" s="24" t="s">
        <v>62</v>
      </c>
    </row>
    <row r="33" spans="1:7">
      <c r="A33" s="5" t="s">
        <v>63</v>
      </c>
      <c r="B33" s="23">
        <v>0</v>
      </c>
    </row>
    <row r="34" spans="1:7">
      <c r="A34" s="5" t="s">
        <v>64</v>
      </c>
      <c r="B34" s="23">
        <v>0</v>
      </c>
    </row>
    <row r="35" spans="1:7">
      <c r="A35" s="5" t="s">
        <v>65</v>
      </c>
      <c r="B35" s="23">
        <v>0</v>
      </c>
    </row>
    <row r="37" spans="1:7">
      <c r="A37" s="3" t="s">
        <v>66</v>
      </c>
      <c r="B37" s="4"/>
      <c r="C37" s="4"/>
      <c r="D37" s="4"/>
      <c r="E37" s="4"/>
      <c r="F37" s="4"/>
      <c r="G37" s="4"/>
    </row>
    <row r="38" spans="1:7" ht="30" customHeight="1">
      <c r="A38" s="16" t="s">
        <v>67</v>
      </c>
      <c r="B38" s="16" t="s">
        <v>68</v>
      </c>
      <c r="C38" s="16" t="s">
        <v>69</v>
      </c>
    </row>
    <row r="39" spans="1:7" ht="29">
      <c r="A39" s="20" t="s">
        <v>70</v>
      </c>
      <c r="B39" s="27">
        <v>0</v>
      </c>
      <c r="C39" s="28">
        <v>1</v>
      </c>
    </row>
    <row r="41" spans="1:7">
      <c r="A41" s="3" t="s">
        <v>71</v>
      </c>
      <c r="B41" s="4"/>
      <c r="C41" s="4"/>
      <c r="D41" s="4"/>
      <c r="E41" s="4"/>
      <c r="F41" s="4"/>
      <c r="G41" s="4"/>
    </row>
    <row r="42" spans="1:7">
      <c r="A42" s="5" t="s">
        <v>72</v>
      </c>
      <c r="B42" s="26">
        <v>0</v>
      </c>
      <c r="C42" s="24" t="s">
        <v>73</v>
      </c>
    </row>
    <row r="44" spans="1:7">
      <c r="A44" s="3" t="s">
        <v>74</v>
      </c>
      <c r="B44" s="4"/>
      <c r="C44" s="4"/>
      <c r="D44" s="4"/>
      <c r="E44" s="4"/>
      <c r="F44" s="4"/>
      <c r="G44" s="4"/>
    </row>
    <row r="45" spans="1:7">
      <c r="A45" s="5" t="s">
        <v>75</v>
      </c>
      <c r="B45" s="26">
        <v>0</v>
      </c>
      <c r="C45" s="24" t="s">
        <v>76</v>
      </c>
    </row>
    <row r="47" spans="1:7">
      <c r="A47" s="3" t="s">
        <v>77</v>
      </c>
      <c r="B47" s="4"/>
      <c r="C47" s="4"/>
      <c r="D47" s="4"/>
      <c r="E47" s="4"/>
      <c r="F47" s="4"/>
      <c r="G47" s="4"/>
    </row>
    <row r="48" spans="1:7">
      <c r="A48" s="5" t="s">
        <v>78</v>
      </c>
      <c r="B48" s="23">
        <v>96</v>
      </c>
      <c r="C48" s="24" t="s">
        <v>79</v>
      </c>
    </row>
    <row r="49" spans="1:7">
      <c r="A49" s="5" t="s">
        <v>80</v>
      </c>
      <c r="B49" s="26">
        <v>4000</v>
      </c>
    </row>
    <row r="50" spans="1:7">
      <c r="A50" s="5" t="s">
        <v>81</v>
      </c>
      <c r="B50" s="26">
        <v>0</v>
      </c>
    </row>
    <row r="51" spans="1:7" ht="29">
      <c r="A51" s="5" t="s">
        <v>82</v>
      </c>
      <c r="B51" s="25">
        <v>0.7</v>
      </c>
      <c r="C51" s="24" t="s">
        <v>83</v>
      </c>
    </row>
    <row r="53" spans="1:7">
      <c r="A53" s="3" t="s">
        <v>84</v>
      </c>
      <c r="B53" s="4"/>
      <c r="C53" s="4"/>
      <c r="D53" s="4"/>
      <c r="E53" s="4"/>
      <c r="F53" s="4"/>
      <c r="G53" s="4"/>
    </row>
    <row r="54" spans="1:7">
      <c r="A54" s="5" t="s">
        <v>85</v>
      </c>
      <c r="B54" s="23">
        <v>20</v>
      </c>
      <c r="C54" s="24" t="s">
        <v>86</v>
      </c>
    </row>
    <row r="55" spans="1:7">
      <c r="A55" s="5" t="s">
        <v>87</v>
      </c>
      <c r="B55" s="23">
        <v>940</v>
      </c>
      <c r="C55" s="24" t="s">
        <v>88</v>
      </c>
    </row>
    <row r="56" spans="1:7">
      <c r="A56" s="5" t="s">
        <v>89</v>
      </c>
      <c r="B56" s="23">
        <v>450</v>
      </c>
      <c r="C56" s="24" t="s">
        <v>90</v>
      </c>
    </row>
    <row r="57" spans="1:7">
      <c r="A57" s="5" t="s">
        <v>91</v>
      </c>
      <c r="B57" s="23">
        <v>15</v>
      </c>
      <c r="C57" s="24" t="s">
        <v>92</v>
      </c>
    </row>
    <row r="58" spans="1:7">
      <c r="A58" s="5" t="s">
        <v>93</v>
      </c>
      <c r="B58" s="23">
        <v>3070</v>
      </c>
      <c r="C58" s="24" t="s">
        <v>94</v>
      </c>
    </row>
    <row r="59" spans="1:7">
      <c r="A59" s="5" t="s">
        <v>95</v>
      </c>
      <c r="B59" s="23">
        <v>600</v>
      </c>
      <c r="C59" s="24" t="s">
        <v>96</v>
      </c>
    </row>
  </sheetData>
  <dataValidations count="1">
    <dataValidation type="list" sqref="B29 B32" xr:uid="{00000000-0002-0000-0100-000000000000}">
      <formula1>$A$25:$A$28</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
  <sheetViews>
    <sheetView showGridLines="0" workbookViewId="0"/>
  </sheetViews>
  <sheetFormatPr defaultRowHeight="14.5"/>
  <cols>
    <col min="1" max="1" width="44" customWidth="1"/>
    <col min="2" max="3" width="16" customWidth="1"/>
    <col min="4" max="6" width="18" customWidth="1"/>
    <col min="7" max="7" width="20" customWidth="1"/>
    <col min="8" max="8" width="14" customWidth="1"/>
  </cols>
  <sheetData>
    <row r="1" spans="1:8" ht="26" customHeight="1">
      <c r="A1" s="1" t="s">
        <v>97</v>
      </c>
    </row>
    <row r="2" spans="1:8">
      <c r="A2" s="2" t="s">
        <v>98</v>
      </c>
    </row>
    <row r="4" spans="1:8">
      <c r="A4" s="3" t="s">
        <v>99</v>
      </c>
      <c r="B4" s="4"/>
      <c r="C4" s="4"/>
      <c r="D4" s="4"/>
      <c r="E4" s="4"/>
      <c r="F4" s="4"/>
      <c r="G4" s="4"/>
      <c r="H4" s="4"/>
    </row>
    <row r="5" spans="1:8">
      <c r="A5" s="5" t="s">
        <v>100</v>
      </c>
      <c r="B5" s="7">
        <f>Inputs!$B$12+Inputs!$B$13</f>
        <v>968</v>
      </c>
    </row>
    <row r="6" spans="1:8">
      <c r="A6" s="5" t="s">
        <v>101</v>
      </c>
      <c r="B6" s="7">
        <f>Inputs!$B$14+Inputs!$B$15</f>
        <v>520</v>
      </c>
    </row>
    <row r="7" spans="1:8">
      <c r="A7" s="5" t="s">
        <v>102</v>
      </c>
      <c r="B7" s="7">
        <f>Inputs!$B$18</f>
        <v>0</v>
      </c>
    </row>
    <row r="8" spans="1:8">
      <c r="A8" s="5" t="s">
        <v>5</v>
      </c>
      <c r="B8" s="7">
        <f>Inputs!$B$16</f>
        <v>3</v>
      </c>
    </row>
    <row r="9" spans="1:8">
      <c r="A9" s="8" t="s">
        <v>103</v>
      </c>
      <c r="B9" s="29">
        <f>Inputs!$B$16*('Agent Loop'!$B$5+'Agent Loop'!$B$6)+'Agent Loop'!$B$7*Inputs!$B$16*(Inputs!$B$16-1)/2</f>
        <v>4464</v>
      </c>
      <c r="C9" s="24" t="s">
        <v>104</v>
      </c>
    </row>
    <row r="10" spans="1:8">
      <c r="A10" s="5" t="s">
        <v>105</v>
      </c>
      <c r="B10" s="7">
        <f>Inputs!$B$16*'Agent Loop'!$B$5*Inputs!$B$21</f>
        <v>0</v>
      </c>
    </row>
    <row r="11" spans="1:8">
      <c r="A11" s="5" t="s">
        <v>106</v>
      </c>
      <c r="B11" s="7">
        <f>'Agent Loop'!$B$9-'Agent Loop'!$B$10</f>
        <v>4464</v>
      </c>
    </row>
    <row r="12" spans="1:8">
      <c r="A12" s="8" t="s">
        <v>107</v>
      </c>
      <c r="B12" s="29">
        <f>(Inputs!$B$16-1)*Inputs!$B$17+Inputs!$B$19</f>
        <v>1535</v>
      </c>
    </row>
    <row r="13" spans="1:8">
      <c r="A13" s="5" t="s">
        <v>46</v>
      </c>
      <c r="B13" s="14">
        <f>Inputs!$B$20</f>
        <v>0.1</v>
      </c>
    </row>
    <row r="15" spans="1:8">
      <c r="A15" s="3" t="s">
        <v>108</v>
      </c>
      <c r="B15" s="4"/>
      <c r="C15" s="4"/>
      <c r="D15" s="4"/>
      <c r="E15" s="4"/>
      <c r="F15" s="4"/>
      <c r="G15" s="4"/>
      <c r="H15" s="4"/>
    </row>
    <row r="16" spans="1:8" ht="30" customHeight="1">
      <c r="A16" s="16" t="s">
        <v>109</v>
      </c>
      <c r="B16" s="16" t="s">
        <v>110</v>
      </c>
      <c r="C16" s="16" t="s">
        <v>111</v>
      </c>
      <c r="D16" s="16" t="s">
        <v>112</v>
      </c>
    </row>
    <row r="17" spans="1:8">
      <c r="A17" s="30">
        <v>1</v>
      </c>
      <c r="B17" s="7">
        <f>IF('Agent Loop'!$A$17&lt;=Inputs!$B$16,'Agent Loop'!$B$5+'Agent Loop'!$B$6+('Agent Loop'!$A$17-1)*'Agent Loop'!$B$7,"")</f>
        <v>1488</v>
      </c>
      <c r="C17" s="7">
        <f>IF('Agent Loop'!$A$17&lt;Inputs!$B$16,Inputs!$B$17,IF('Agent Loop'!$A$17=Inputs!$B$16,Inputs!$B$19,""))</f>
        <v>178</v>
      </c>
      <c r="D17" s="7">
        <f>IF(B17="","",SUM($B$17:B17))</f>
        <v>1488</v>
      </c>
    </row>
    <row r="18" spans="1:8">
      <c r="A18" s="30">
        <v>2</v>
      </c>
      <c r="B18" s="7">
        <f>IF('Agent Loop'!$A$18&lt;=Inputs!$B$16,'Agent Loop'!$B$5+'Agent Loop'!$B$6+('Agent Loop'!$A$18-1)*'Agent Loop'!$B$7,"")</f>
        <v>1488</v>
      </c>
      <c r="C18" s="7">
        <f>IF('Agent Loop'!$A$18&lt;Inputs!$B$16,Inputs!$B$17,IF('Agent Loop'!$A$18=Inputs!$B$16,Inputs!$B$19,""))</f>
        <v>178</v>
      </c>
      <c r="D18" s="7">
        <f>IF(B18="","",SUM($B$17:B18))</f>
        <v>2976</v>
      </c>
    </row>
    <row r="19" spans="1:8">
      <c r="A19" s="30">
        <v>3</v>
      </c>
      <c r="B19" s="7">
        <f>IF('Agent Loop'!$A$19&lt;=Inputs!$B$16,'Agent Loop'!$B$5+'Agent Loop'!$B$6+('Agent Loop'!$A$19-1)*'Agent Loop'!$B$7,"")</f>
        <v>1488</v>
      </c>
      <c r="C19" s="7">
        <f>IF('Agent Loop'!$A$19&lt;Inputs!$B$16,Inputs!$B$17,IF('Agent Loop'!$A$19=Inputs!$B$16,Inputs!$B$19,""))</f>
        <v>1179</v>
      </c>
      <c r="D19" s="7">
        <f>IF(B19="","",SUM($B$17:B19))</f>
        <v>4464</v>
      </c>
    </row>
    <row r="20" spans="1:8">
      <c r="A20" s="30">
        <v>4</v>
      </c>
      <c r="B20" s="7" t="str">
        <f>IF('Agent Loop'!$A$20&lt;=Inputs!$B$16,'Agent Loop'!$B$5+'Agent Loop'!$B$6+('Agent Loop'!$A$20-1)*'Agent Loop'!$B$7,"")</f>
        <v/>
      </c>
      <c r="C20" s="7" t="str">
        <f>IF('Agent Loop'!$A$20&lt;Inputs!$B$16,Inputs!$B$17,IF('Agent Loop'!$A$20=Inputs!$B$16,Inputs!$B$19,""))</f>
        <v/>
      </c>
      <c r="D20" s="7" t="str">
        <f>IF(B20="","",SUM($B$17:B20))</f>
        <v/>
      </c>
    </row>
    <row r="21" spans="1:8">
      <c r="A21" s="30">
        <v>5</v>
      </c>
      <c r="B21" s="7" t="str">
        <f>IF('Agent Loop'!$A$21&lt;=Inputs!$B$16,'Agent Loop'!$B$5+'Agent Loop'!$B$6+('Agent Loop'!$A$21-1)*'Agent Loop'!$B$7,"")</f>
        <v/>
      </c>
      <c r="C21" s="7" t="str">
        <f>IF('Agent Loop'!$A$21&lt;Inputs!$B$16,Inputs!$B$17,IF('Agent Loop'!$A$21=Inputs!$B$16,Inputs!$B$19,""))</f>
        <v/>
      </c>
      <c r="D21" s="7" t="str">
        <f>IF(B21="","",SUM($B$17:B21))</f>
        <v/>
      </c>
    </row>
    <row r="22" spans="1:8">
      <c r="A22" s="30">
        <v>6</v>
      </c>
      <c r="B22" s="7" t="str">
        <f>IF('Agent Loop'!$A$22&lt;=Inputs!$B$16,'Agent Loop'!$B$5+'Agent Loop'!$B$6+('Agent Loop'!$A$22-1)*'Agent Loop'!$B$7,"")</f>
        <v/>
      </c>
      <c r="C22" s="7" t="str">
        <f>IF('Agent Loop'!$A$22&lt;Inputs!$B$16,Inputs!$B$17,IF('Agent Loop'!$A$22=Inputs!$B$16,Inputs!$B$19,""))</f>
        <v/>
      </c>
      <c r="D22" s="7" t="str">
        <f>IF(B22="","",SUM($B$17:B22))</f>
        <v/>
      </c>
    </row>
    <row r="23" spans="1:8">
      <c r="A23" s="30">
        <v>7</v>
      </c>
      <c r="B23" s="7" t="str">
        <f>IF('Agent Loop'!$A$23&lt;=Inputs!$B$16,'Agent Loop'!$B$5+'Agent Loop'!$B$6+('Agent Loop'!$A$23-1)*'Agent Loop'!$B$7,"")</f>
        <v/>
      </c>
      <c r="C23" s="7" t="str">
        <f>IF('Agent Loop'!$A$23&lt;Inputs!$B$16,Inputs!$B$17,IF('Agent Loop'!$A$23=Inputs!$B$16,Inputs!$B$19,""))</f>
        <v/>
      </c>
      <c r="D23" s="7" t="str">
        <f>IF(B23="","",SUM($B$17:B23))</f>
        <v/>
      </c>
    </row>
    <row r="24" spans="1:8">
      <c r="A24" s="30">
        <v>8</v>
      </c>
      <c r="B24" s="7" t="str">
        <f>IF('Agent Loop'!$A$24&lt;=Inputs!$B$16,'Agent Loop'!$B$5+'Agent Loop'!$B$6+('Agent Loop'!$A$24-1)*'Agent Loop'!$B$7,"")</f>
        <v/>
      </c>
      <c r="C24" s="7" t="str">
        <f>IF('Agent Loop'!$A$24&lt;Inputs!$B$16,Inputs!$B$17,IF('Agent Loop'!$A$24=Inputs!$B$16,Inputs!$B$19,""))</f>
        <v/>
      </c>
      <c r="D24" s="7" t="str">
        <f>IF(B24="","",SUM($B$17:B24))</f>
        <v/>
      </c>
    </row>
    <row r="25" spans="1:8">
      <c r="A25" s="30">
        <v>9</v>
      </c>
      <c r="B25" s="7" t="str">
        <f>IF('Agent Loop'!$A$25&lt;=Inputs!$B$16,'Agent Loop'!$B$5+'Agent Loop'!$B$6+('Agent Loop'!$A$25-1)*'Agent Loop'!$B$7,"")</f>
        <v/>
      </c>
      <c r="C25" s="7" t="str">
        <f>IF('Agent Loop'!$A$25&lt;Inputs!$B$16,Inputs!$B$17,IF('Agent Loop'!$A$25=Inputs!$B$16,Inputs!$B$19,""))</f>
        <v/>
      </c>
      <c r="D25" s="7" t="str">
        <f>IF(B25="","",SUM($B$17:B25))</f>
        <v/>
      </c>
    </row>
    <row r="26" spans="1:8">
      <c r="A26" s="30">
        <v>10</v>
      </c>
      <c r="B26" s="7" t="str">
        <f>IF('Agent Loop'!$A$26&lt;=Inputs!$B$16,'Agent Loop'!$B$5+'Agent Loop'!$B$6+('Agent Loop'!$A$26-1)*'Agent Loop'!$B$7,"")</f>
        <v/>
      </c>
      <c r="C26" s="7" t="str">
        <f>IF('Agent Loop'!$A$26&lt;Inputs!$B$16,Inputs!$B$17,IF('Agent Loop'!$A$26=Inputs!$B$16,Inputs!$B$19,""))</f>
        <v/>
      </c>
      <c r="D26" s="7" t="str">
        <f>IF(B26="","",SUM($B$17:B26))</f>
        <v/>
      </c>
    </row>
    <row r="27" spans="1:8">
      <c r="A27" s="31" t="s">
        <v>113</v>
      </c>
    </row>
    <row r="29" spans="1:8">
      <c r="A29" s="3" t="s">
        <v>114</v>
      </c>
      <c r="B29" s="4"/>
      <c r="C29" s="4"/>
      <c r="D29" s="4"/>
      <c r="E29" s="4"/>
      <c r="F29" s="4"/>
      <c r="G29" s="4"/>
      <c r="H29" s="4"/>
    </row>
    <row r="30" spans="1:8" ht="30" customHeight="1">
      <c r="A30" s="16" t="s">
        <v>18</v>
      </c>
      <c r="B30" s="16" t="s">
        <v>115</v>
      </c>
      <c r="C30" s="16" t="s">
        <v>116</v>
      </c>
      <c r="D30" s="16" t="s">
        <v>117</v>
      </c>
      <c r="E30" s="16" t="s">
        <v>118</v>
      </c>
      <c r="F30" s="16" t="s">
        <v>119</v>
      </c>
      <c r="G30" s="16"/>
      <c r="H30" s="16"/>
    </row>
    <row r="31" spans="1:8">
      <c r="A31" s="17" t="str">
        <f>Inputs!$A$25</f>
        <v>openai/gpt-oss-120b (Groq)</v>
      </c>
      <c r="B31" s="10">
        <f>'Agent Loop'!$B$11*Inputs!$B$25/1000000</f>
        <v>6.6960000000000001E-4</v>
      </c>
      <c r="C31" s="10">
        <f>'Agent Loop'!$B$10*Inputs!$C$25/1000000</f>
        <v>0</v>
      </c>
      <c r="D31" s="10">
        <f>'Agent Loop'!$B$12*Inputs!$D$25/1000000</f>
        <v>9.2100000000000005E-4</v>
      </c>
      <c r="E31" s="10">
        <f>('Agent Loop'!$B$31+'Agent Loop'!$C$31+'Agent Loop'!$D$31)*(1+Inputs!$B$20)</f>
        <v>1.7496600000000003E-3</v>
      </c>
      <c r="F31" s="11">
        <f>'Agent Loop'!$E$31*Inputs!$B$9</f>
        <v>3.8492520000000008</v>
      </c>
      <c r="G31" s="18" t="str">
        <f>IF(Inputs!$A$25=Inputs!$B$29,"Selected","")</f>
        <v>Selected</v>
      </c>
    </row>
    <row r="32" spans="1:8">
      <c r="A32" s="17" t="str">
        <f>Inputs!$A$26</f>
        <v>openai/gpt-oss-20b (Groq)</v>
      </c>
      <c r="B32" s="10">
        <f>'Agent Loop'!$B$11*Inputs!$B$26/1000000</f>
        <v>3.3480000000000001E-4</v>
      </c>
      <c r="C32" s="10">
        <f>'Agent Loop'!$B$10*Inputs!$C$26/1000000</f>
        <v>0</v>
      </c>
      <c r="D32" s="10">
        <f>'Agent Loop'!$B$12*Inputs!$D$26/1000000</f>
        <v>4.6050000000000003E-4</v>
      </c>
      <c r="E32" s="10">
        <f>('Agent Loop'!$B$32+'Agent Loop'!$C$32+'Agent Loop'!$D$32)*(1+Inputs!$B$20)</f>
        <v>8.7483000000000016E-4</v>
      </c>
      <c r="F32" s="11">
        <f>'Agent Loop'!$E$32*Inputs!$B$9</f>
        <v>1.9246260000000004</v>
      </c>
      <c r="G32" s="18" t="str">
        <f>IF(Inputs!$A$26=Inputs!$B$29,"Selected","")</f>
        <v/>
      </c>
    </row>
    <row r="33" spans="1:8">
      <c r="A33" s="17" t="str">
        <f>Inputs!$A$27</f>
        <v>qwen/qwen3.8-27b (Groq, preview)</v>
      </c>
      <c r="B33" s="10">
        <f>'Agent Loop'!$B$11*Inputs!$B$27/1000000</f>
        <v>3.5712000000000001E-3</v>
      </c>
      <c r="C33" s="10">
        <f>'Agent Loop'!$B$10*Inputs!$C$27/1000000</f>
        <v>0</v>
      </c>
      <c r="D33" s="10">
        <f>'Agent Loop'!$B$12*Inputs!$D$27/1000000</f>
        <v>6.1399999999999996E-3</v>
      </c>
      <c r="E33" s="10">
        <f>('Agent Loop'!$B$33+'Agent Loop'!$C$33+'Agent Loop'!$D$33)*(1+Inputs!$B$20)</f>
        <v>1.068232E-2</v>
      </c>
      <c r="F33" s="11">
        <f>'Agent Loop'!$E$33*Inputs!$B$9</f>
        <v>23.501104000000002</v>
      </c>
      <c r="G33" s="18" t="str">
        <f>IF(Inputs!$A$27=Inputs!$B$29,"Selected","")</f>
        <v/>
      </c>
    </row>
    <row r="34" spans="1:8">
      <c r="A34" s="17" t="str">
        <f>Inputs!$A$28</f>
        <v>Claude Haiku 4.5 (Anthropic)</v>
      </c>
      <c r="B34" s="10">
        <f>'Agent Loop'!$B$11*Inputs!$B$28/1000000</f>
        <v>4.4640000000000001E-3</v>
      </c>
      <c r="C34" s="10">
        <f>'Agent Loop'!$B$10*Inputs!$C$28/1000000</f>
        <v>0</v>
      </c>
      <c r="D34" s="10">
        <f>'Agent Loop'!$B$12*Inputs!$D$28/1000000</f>
        <v>7.6750000000000004E-3</v>
      </c>
      <c r="E34" s="10">
        <f>('Agent Loop'!$B$34+'Agent Loop'!$C$34+'Agent Loop'!$D$34)*(1+Inputs!$B$20)</f>
        <v>1.3352900000000001E-2</v>
      </c>
      <c r="F34" s="11">
        <f>'Agent Loop'!$E$34*Inputs!$B$9</f>
        <v>29.376380000000001</v>
      </c>
      <c r="G34" s="18" t="str">
        <f>IF(Inputs!$A$28=Inputs!$B$29,"Selected","")</f>
        <v/>
      </c>
    </row>
    <row r="36" spans="1:8">
      <c r="A36" s="3" t="s">
        <v>120</v>
      </c>
      <c r="B36" s="4"/>
      <c r="C36" s="4"/>
      <c r="D36" s="4"/>
      <c r="E36" s="4"/>
      <c r="F36" s="4"/>
      <c r="G36" s="4"/>
      <c r="H36" s="4"/>
    </row>
    <row r="37" spans="1:8">
      <c r="A37" s="5" t="s">
        <v>3</v>
      </c>
      <c r="B37" s="6" t="str">
        <f>Inputs!$B$29</f>
        <v>openai/gpt-oss-120b (Groq)</v>
      </c>
    </row>
    <row r="38" spans="1:8">
      <c r="A38" s="5" t="s">
        <v>121</v>
      </c>
      <c r="B38" s="10">
        <f>INDEX($E$31:$E$34,MATCH(Inputs!$B$29,$A$31:$A$34,0))</f>
        <v>1.7496600000000003E-3</v>
      </c>
    </row>
    <row r="39" spans="1:8">
      <c r="A39" s="5" t="s">
        <v>122</v>
      </c>
      <c r="B39" s="10">
        <f>Inputs!$B$33*(Inputs!$B$34*INDEX(Inputs!$B$25:$B$28,MATCH(Inputs!$B$32,Inputs!$A$25:$A$28,0))+Inputs!$B$35*INDEX(Inputs!$D$25:$D$28,MATCH(Inputs!$B$32,Inputs!$A$25:$A$28,0)))/1000000</f>
        <v>0</v>
      </c>
    </row>
    <row r="40" spans="1:8">
      <c r="A40" s="5" t="s">
        <v>123</v>
      </c>
      <c r="B40" s="10">
        <f>Inputs!$B$39*Inputs!$C$39</f>
        <v>0</v>
      </c>
    </row>
    <row r="41" spans="1:8">
      <c r="A41" s="8" t="s">
        <v>124</v>
      </c>
      <c r="B41" s="9">
        <f>'Agent Loop'!$B$38+'Agent Loop'!$B$39+'Agent Loop'!$B$40</f>
        <v>1.7496600000000003E-3</v>
      </c>
    </row>
    <row r="42" spans="1:8">
      <c r="A42" s="8" t="s">
        <v>125</v>
      </c>
      <c r="B42" s="12">
        <f>'Agent Loop'!$B$41*Inputs!$B$9+'Agent Loop'!$B$50</f>
        <v>4.3460175000000012</v>
      </c>
    </row>
    <row r="44" spans="1:8">
      <c r="A44" s="3" t="s">
        <v>126</v>
      </c>
      <c r="B44" s="4"/>
      <c r="C44" s="4"/>
      <c r="D44" s="4"/>
      <c r="E44" s="4"/>
      <c r="F44" s="4"/>
      <c r="G44" s="4"/>
    </row>
    <row r="45" spans="1:8" ht="29">
      <c r="A45" s="16" t="s">
        <v>18</v>
      </c>
      <c r="B45" s="16" t="s">
        <v>127</v>
      </c>
      <c r="C45" s="16" t="s">
        <v>128</v>
      </c>
      <c r="D45" s="16" t="s">
        <v>129</v>
      </c>
      <c r="E45" s="16" t="s">
        <v>130</v>
      </c>
      <c r="F45" s="16" t="s">
        <v>131</v>
      </c>
      <c r="G45" s="16"/>
    </row>
    <row r="46" spans="1:8">
      <c r="A46" s="17" t="str">
        <f>Inputs!$A$25</f>
        <v>openai/gpt-oss-120b (Groq)</v>
      </c>
      <c r="B46" s="7">
        <f>Inputs!$B$54*Inputs!$B$8</f>
        <v>440</v>
      </c>
      <c r="C46" s="7">
        <f>Inputs!$B$57*Inputs!$B$8</f>
        <v>330</v>
      </c>
      <c r="D46" s="10">
        <f>(Inputs!$B$55*Inputs!$B$25+Inputs!$B$56*Inputs!$D$25)/1000000*(1+Inputs!$B$20)</f>
        <v>4.5210000000000004E-4</v>
      </c>
      <c r="E46" s="10">
        <f>(Inputs!$B$58*Inputs!$B$25+Inputs!$B$59*Inputs!$D$25)/1000000*(1+Inputs!$B$20)</f>
        <v>9.0255000000000012E-4</v>
      </c>
      <c r="F46" s="11">
        <f>'Agent Loop'!$B$46*'Agent Loop'!$D$46+'Agent Loop'!$C$46*'Agent Loop'!$E$46</f>
        <v>0.49676550000000008</v>
      </c>
      <c r="G46" s="18" t="str">
        <f>IF(Inputs!$A$25=Inputs!$B$29,"Selected","")</f>
        <v>Selected</v>
      </c>
    </row>
    <row r="47" spans="1:8">
      <c r="A47" s="17" t="str">
        <f>Inputs!$A$26</f>
        <v>openai/gpt-oss-20b (Groq)</v>
      </c>
      <c r="B47" s="7">
        <f>Inputs!$B$54*Inputs!$B$8</f>
        <v>440</v>
      </c>
      <c r="C47" s="7">
        <f>Inputs!$B$57*Inputs!$B$8</f>
        <v>330</v>
      </c>
      <c r="D47" s="10">
        <f>(Inputs!$B$55*Inputs!$B$26+Inputs!$B$56*Inputs!$D$26)/1000000*(1+Inputs!$B$20)</f>
        <v>2.2605000000000002E-4</v>
      </c>
      <c r="E47" s="10">
        <f>(Inputs!$B$58*Inputs!$B$26+Inputs!$B$59*Inputs!$D$26)/1000000*(1+Inputs!$B$20)</f>
        <v>4.5127500000000006E-4</v>
      </c>
      <c r="F47" s="11">
        <f>'Agent Loop'!$B$47*'Agent Loop'!$D$47+'Agent Loop'!$C$47*'Agent Loop'!$E$47</f>
        <v>0.24838275000000004</v>
      </c>
      <c r="G47" s="18" t="str">
        <f>IF(Inputs!$A$26=Inputs!$B$29,"Selected","")</f>
        <v/>
      </c>
    </row>
    <row r="48" spans="1:8">
      <c r="A48" s="17" t="str">
        <f>Inputs!$A$27</f>
        <v>qwen/qwen3.8-27b (Groq, preview)</v>
      </c>
      <c r="B48" s="7">
        <f>Inputs!$B$54*Inputs!$B$8</f>
        <v>440</v>
      </c>
      <c r="C48" s="7">
        <f>Inputs!$B$57*Inputs!$B$8</f>
        <v>330</v>
      </c>
      <c r="D48" s="10">
        <f>(Inputs!$B$55*Inputs!$B$27+Inputs!$B$56*Inputs!$D$27)/1000000*(1+Inputs!$B$20)</f>
        <v>2.8072000000000001E-3</v>
      </c>
      <c r="E48" s="10">
        <f>(Inputs!$B$58*Inputs!$B$27+Inputs!$B$59*Inputs!$D$27)/1000000*(1+Inputs!$B$20)</f>
        <v>5.3416000000000002E-3</v>
      </c>
      <c r="F48" s="11">
        <f>'Agent Loop'!$B$48*'Agent Loop'!$D$48+'Agent Loop'!$C$48*'Agent Loop'!$E$48</f>
        <v>2.9978959999999999</v>
      </c>
      <c r="G48" s="18" t="str">
        <f>IF(Inputs!$A$27=Inputs!$B$29,"Selected","")</f>
        <v/>
      </c>
    </row>
    <row r="49" spans="1:7">
      <c r="A49" s="17" t="str">
        <f>Inputs!$A$28</f>
        <v>Claude Haiku 4.5 (Anthropic)</v>
      </c>
      <c r="B49" s="7">
        <f>Inputs!$B$54*Inputs!$B$8</f>
        <v>440</v>
      </c>
      <c r="C49" s="7">
        <f>Inputs!$B$57*Inputs!$B$8</f>
        <v>330</v>
      </c>
      <c r="D49" s="10">
        <f>(Inputs!$B$55*Inputs!$B$28+Inputs!$B$56*Inputs!$D$28)/1000000*(1+Inputs!$B$20)</f>
        <v>3.5090000000000004E-3</v>
      </c>
      <c r="E49" s="10">
        <f>(Inputs!$B$58*Inputs!$B$28+Inputs!$B$59*Inputs!$D$28)/1000000*(1+Inputs!$B$20)</f>
        <v>6.6770000000000006E-3</v>
      </c>
      <c r="F49" s="11">
        <f>'Agent Loop'!$B$49*'Agent Loop'!$D$49+'Agent Loop'!$C$49*'Agent Loop'!$E$49</f>
        <v>3.7473700000000005</v>
      </c>
      <c r="G49" s="18" t="str">
        <f>IF(Inputs!$A$28=Inputs!$B$29,"Selected","")</f>
        <v/>
      </c>
    </row>
    <row r="50" spans="1:7">
      <c r="A50" s="8" t="s">
        <v>132</v>
      </c>
      <c r="B50" s="12">
        <f>INDEX($F$46:$F$49,MATCH(Inputs!$B$29,$A$46:$A$49,0))</f>
        <v>0.49676550000000008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showGridLines="0" workbookViewId="0"/>
  </sheetViews>
  <sheetFormatPr defaultRowHeight="14.5"/>
  <cols>
    <col min="1" max="1" width="50" customWidth="1"/>
    <col min="2" max="2" width="20" customWidth="1"/>
    <col min="3" max="3" width="60" customWidth="1"/>
  </cols>
  <sheetData>
    <row r="1" spans="1:3" ht="26" customHeight="1">
      <c r="A1" s="1" t="s">
        <v>133</v>
      </c>
    </row>
    <row r="2" spans="1:3">
      <c r="A2" s="2" t="s">
        <v>134</v>
      </c>
    </row>
    <row r="4" spans="1:3">
      <c r="A4" s="3" t="s">
        <v>135</v>
      </c>
      <c r="B4" s="4"/>
      <c r="C4" s="4"/>
    </row>
    <row r="5" spans="1:3">
      <c r="A5" s="5" t="s">
        <v>4</v>
      </c>
      <c r="B5" s="7">
        <f>Inputs!$B$9</f>
        <v>2200</v>
      </c>
    </row>
    <row r="6" spans="1:3">
      <c r="A6" s="5" t="s">
        <v>136</v>
      </c>
      <c r="B6" s="7">
        <f>Inputs!$B$48*Inputs!$B$8</f>
        <v>2112</v>
      </c>
    </row>
    <row r="7" spans="1:3">
      <c r="A7" s="5" t="s">
        <v>137</v>
      </c>
      <c r="B7" s="15">
        <f>Inputs!$B$9/'Cost Saving'!$B$6</f>
        <v>1.0416666666666667</v>
      </c>
      <c r="C7" s="24" t="s">
        <v>138</v>
      </c>
    </row>
    <row r="8" spans="1:3">
      <c r="A8" s="5" t="s">
        <v>139</v>
      </c>
      <c r="B8" s="11">
        <f>Inputs!$B$49+Inputs!$B$50</f>
        <v>4000</v>
      </c>
    </row>
    <row r="9" spans="1:3">
      <c r="A9" s="8" t="s">
        <v>140</v>
      </c>
      <c r="B9" s="12">
        <f>'Cost Saving'!$B$7*'Cost Saving'!$B$8</f>
        <v>4166.666666666667</v>
      </c>
    </row>
    <row r="11" spans="1:3">
      <c r="A11" s="3" t="s">
        <v>141</v>
      </c>
      <c r="B11" s="4"/>
      <c r="C11" s="4"/>
    </row>
    <row r="12" spans="1:3">
      <c r="A12" s="5" t="s">
        <v>142</v>
      </c>
      <c r="B12" s="11">
        <f>'Agent Loop'!$B$42</f>
        <v>4.3460175000000012</v>
      </c>
    </row>
    <row r="13" spans="1:3">
      <c r="A13" s="5" t="s">
        <v>143</v>
      </c>
      <c r="B13" s="11">
        <v>0</v>
      </c>
      <c r="C13" s="24" t="s">
        <v>144</v>
      </c>
    </row>
    <row r="14" spans="1:3" hidden="1">
      <c r="B14" s="11">
        <v>0</v>
      </c>
    </row>
    <row r="15" spans="1:3">
      <c r="A15" s="5" t="s">
        <v>145</v>
      </c>
      <c r="B15" s="11">
        <f>Inputs!$B$42</f>
        <v>0</v>
      </c>
    </row>
    <row r="16" spans="1:3">
      <c r="A16" s="5" t="s">
        <v>146</v>
      </c>
      <c r="B16" s="11">
        <f>'Cost Saving'!$B$9*(1-Inputs!$B$51)</f>
        <v>1250.0000000000002</v>
      </c>
      <c r="C16" s="24" t="s">
        <v>147</v>
      </c>
    </row>
    <row r="17" spans="1:3">
      <c r="A17" s="8" t="s">
        <v>148</v>
      </c>
      <c r="B17" s="12">
        <f>'Agent Loop'!$B$42+'Cost Saving'!$B$13+'Cost Saving'!$B$15+'Cost Saving'!$B$16</f>
        <v>1254.3460175000002</v>
      </c>
    </row>
    <row r="19" spans="1:3">
      <c r="A19" s="3" t="s">
        <v>149</v>
      </c>
      <c r="B19" s="4"/>
      <c r="C19" s="4"/>
    </row>
    <row r="20" spans="1:3">
      <c r="A20" s="8" t="s">
        <v>11</v>
      </c>
      <c r="B20" s="12">
        <f>'Cost Saving'!$B$9-'Cost Saving'!$B$17</f>
        <v>2912.320649166667</v>
      </c>
    </row>
    <row r="21" spans="1:3">
      <c r="A21" s="8" t="s">
        <v>12</v>
      </c>
      <c r="B21" s="13">
        <f>IF('Cost Saving'!$B$9=0,0,'Cost Saving'!$B$20/'Cost Saving'!$B$9)</f>
        <v>0.69895695580000006</v>
      </c>
    </row>
    <row r="22" spans="1:3">
      <c r="A22" s="5" t="s">
        <v>150</v>
      </c>
      <c r="B22" s="11">
        <f>'Cost Saving'!$B$20*12</f>
        <v>34947.84779</v>
      </c>
    </row>
    <row r="23" spans="1:3">
      <c r="A23" s="5" t="s">
        <v>14</v>
      </c>
      <c r="B23" s="11">
        <f>'Cost Saving'!$B$14+Inputs!$B$45</f>
        <v>0</v>
      </c>
    </row>
    <row r="24" spans="1:3">
      <c r="A24" s="5" t="s">
        <v>15</v>
      </c>
      <c r="B24" s="15">
        <f>IF('Cost Saving'!$B$20&lt;=0,"No payback",'Cost Saving'!$B$23/'Cost Saving'!$B$20)</f>
        <v>0</v>
      </c>
    </row>
    <row r="25" spans="1:3">
      <c r="A25" s="5" t="s">
        <v>151</v>
      </c>
      <c r="B25" s="10">
        <f>('Cost Saving'!$B$9-'Cost Saving'!$B$13-'Cost Saving'!$B$15-'Cost Saving'!$B$16)/Inputs!$B$9</f>
        <v>1.3257575757575759</v>
      </c>
      <c r="C25" s="24" t="s">
        <v>152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showGridLines="0" workbookViewId="0"/>
  </sheetViews>
  <sheetFormatPr defaultRowHeight="14.5"/>
  <cols>
    <col min="1" max="1" width="110" customWidth="1"/>
  </cols>
  <sheetData>
    <row r="1" spans="1:1" ht="26" customHeight="1">
      <c r="A1" s="1" t="s">
        <v>153</v>
      </c>
    </row>
    <row r="4" spans="1:1" ht="29">
      <c r="A4" s="32" t="s">
        <v>154</v>
      </c>
    </row>
    <row r="5" spans="1:1" ht="43.5">
      <c r="A5" s="32" t="s">
        <v>155</v>
      </c>
    </row>
    <row r="6" spans="1:1" ht="29">
      <c r="A6" s="32" t="s">
        <v>156</v>
      </c>
    </row>
    <row r="7" spans="1:1" ht="43.5">
      <c r="A7" s="32" t="s">
        <v>157</v>
      </c>
    </row>
    <row r="8" spans="1:1" ht="43.5">
      <c r="A8" s="32" t="s">
        <v>158</v>
      </c>
    </row>
    <row r="9" spans="1:1" ht="29">
      <c r="A9" s="32" t="s">
        <v>159</v>
      </c>
    </row>
    <row r="10" spans="1:1" ht="58">
      <c r="A10" s="32" t="s">
        <v>160</v>
      </c>
    </row>
    <row r="11" spans="1:1">
      <c r="A11" s="32" t="s">
        <v>161</v>
      </c>
    </row>
    <row r="12" spans="1:1" ht="29">
      <c r="A12" s="32" t="s">
        <v>162</v>
      </c>
    </row>
    <row r="13" spans="1:1" ht="29">
      <c r="A13" s="32" t="s">
        <v>163</v>
      </c>
    </row>
    <row r="14" spans="1:1" ht="29">
      <c r="A14" s="32" t="s">
        <v>164</v>
      </c>
    </row>
    <row r="15" spans="1:1" ht="29">
      <c r="A15" s="32" t="s">
        <v>165</v>
      </c>
    </row>
    <row r="16" spans="1:1" ht="29">
      <c r="A16" s="32" t="s">
        <v>166</v>
      </c>
    </row>
    <row r="17" spans="1:1" ht="29">
      <c r="A17" s="32" t="s">
        <v>167</v>
      </c>
    </row>
    <row r="18" spans="1:1">
      <c r="A18" s="32" t="s">
        <v>168</v>
      </c>
    </row>
    <row r="19" spans="1:1" ht="29">
      <c r="A19" s="32" t="s">
        <v>169</v>
      </c>
    </row>
    <row r="20" spans="1:1">
      <c r="A20" s="32" t="s">
        <v>170</v>
      </c>
    </row>
    <row r="21" spans="1:1" ht="43.5">
      <c r="A21" s="32"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Inputs</vt:lpstr>
      <vt:lpstr>Agent Loop</vt:lpstr>
      <vt:lpstr>Cost Saving</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Pankaj Mehta</cp:lastModifiedBy>
  <dcterms:created xsi:type="dcterms:W3CDTF">2026-10-07T06:34:12Z</dcterms:created>
  <dcterms:modified xsi:type="dcterms:W3CDTF">2026-10-09T07:28:07Z</dcterms:modified>
</cp:coreProperties>
</file>