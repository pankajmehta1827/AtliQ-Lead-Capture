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Project.Ai\AtliQ Lead Capture\AtliQ Lead Capture - Documents v1.1\"/>
    </mc:Choice>
  </mc:AlternateContent>
  <xr:revisionPtr revIDLastSave="0" documentId="13_ncr:1_{30D2552A-F8EE-4551-9239-51979E9ED9F9}" xr6:coauthVersionLast="47" xr6:coauthVersionMax="47" xr10:uidLastSave="{00000000-0000-0000-0000-000000000000}"/>
  <bookViews>
    <workbookView xWindow="1900" yWindow="1900" windowWidth="14400" windowHeight="8170" xr2:uid="{00000000-000D-0000-FFFF-FFFF00000000}"/>
  </bookViews>
  <sheets>
    <sheet name="Summary" sheetId="1" r:id="rId1"/>
    <sheet name="Inputs" sheetId="2" r:id="rId2"/>
    <sheet name="Agent Loop" sheetId="3" r:id="rId3"/>
    <sheet name="Ask AI (RAG)" sheetId="4" r:id="rId4"/>
    <sheet name="Cost Saving" sheetId="5" r:id="rId5"/>
    <sheet name="Assumption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5" l="1"/>
  <c r="B8" i="5"/>
  <c r="B6" i="5"/>
  <c r="B26" i="4"/>
  <c r="B27" i="4" s="1"/>
  <c r="B14" i="5" s="1"/>
  <c r="B23" i="5" s="1"/>
  <c r="B16" i="1" s="1"/>
  <c r="B25" i="4"/>
  <c r="B21" i="4"/>
  <c r="F20" i="4"/>
  <c r="A20" i="4"/>
  <c r="F19" i="4"/>
  <c r="A19" i="4"/>
  <c r="F18" i="4"/>
  <c r="A18" i="4"/>
  <c r="F17" i="4"/>
  <c r="A17" i="4"/>
  <c r="B12" i="4"/>
  <c r="B10" i="4"/>
  <c r="B9" i="4"/>
  <c r="B8" i="4"/>
  <c r="B7" i="4"/>
  <c r="B6" i="4"/>
  <c r="B5" i="4"/>
  <c r="B11" i="4" s="1"/>
  <c r="G49" i="3"/>
  <c r="D49" i="3"/>
  <c r="C49" i="3"/>
  <c r="B49" i="3"/>
  <c r="A49" i="3"/>
  <c r="G48" i="3"/>
  <c r="D48" i="3"/>
  <c r="C48" i="3"/>
  <c r="B48" i="3"/>
  <c r="A48" i="3"/>
  <c r="G47" i="3"/>
  <c r="D47" i="3"/>
  <c r="C47" i="3"/>
  <c r="B47" i="3"/>
  <c r="A47" i="3"/>
  <c r="G46" i="3"/>
  <c r="D46" i="3"/>
  <c r="C46" i="3"/>
  <c r="B46" i="3"/>
  <c r="A46" i="3"/>
  <c r="B40" i="3"/>
  <c r="B39" i="3"/>
  <c r="B37" i="3"/>
  <c r="G34" i="3"/>
  <c r="A34" i="3"/>
  <c r="G33" i="3"/>
  <c r="A33" i="3"/>
  <c r="G32" i="3"/>
  <c r="A32" i="3"/>
  <c r="G31" i="3"/>
  <c r="A31" i="3"/>
  <c r="C26" i="3"/>
  <c r="B26" i="3"/>
  <c r="D26" i="3" s="1"/>
  <c r="C25" i="3"/>
  <c r="B25" i="3"/>
  <c r="D25" i="3" s="1"/>
  <c r="C24" i="3"/>
  <c r="B24" i="3"/>
  <c r="D24" i="3" s="1"/>
  <c r="C23" i="3"/>
  <c r="B23" i="3"/>
  <c r="D23" i="3" s="1"/>
  <c r="C22" i="3"/>
  <c r="B22" i="3"/>
  <c r="D22" i="3" s="1"/>
  <c r="C21" i="3"/>
  <c r="B21" i="3"/>
  <c r="D21" i="3" s="1"/>
  <c r="C20" i="3"/>
  <c r="B20" i="3"/>
  <c r="D20" i="3" s="1"/>
  <c r="C19" i="3"/>
  <c r="C18" i="3"/>
  <c r="C17" i="3"/>
  <c r="B13" i="3"/>
  <c r="B12" i="3"/>
  <c r="B8" i="3"/>
  <c r="B7" i="3"/>
  <c r="B6" i="3"/>
  <c r="B5" i="3"/>
  <c r="B10" i="3" s="1"/>
  <c r="B80" i="2"/>
  <c r="B9" i="2"/>
  <c r="B37" i="1"/>
  <c r="B36" i="1"/>
  <c r="F24" i="1"/>
  <c r="A24" i="1"/>
  <c r="F23" i="1"/>
  <c r="A23" i="1"/>
  <c r="F22" i="1"/>
  <c r="A22" i="1"/>
  <c r="F21" i="1"/>
  <c r="A21" i="1"/>
  <c r="B15" i="1"/>
  <c r="B7" i="1"/>
  <c r="B6" i="1"/>
  <c r="B5" i="1"/>
  <c r="D34" i="3" l="1"/>
  <c r="D33" i="3"/>
  <c r="D32" i="3"/>
  <c r="D31" i="3"/>
  <c r="C31" i="3"/>
  <c r="C33" i="3"/>
  <c r="C34" i="3"/>
  <c r="C32" i="3"/>
  <c r="C17" i="4"/>
  <c r="C20" i="4"/>
  <c r="C19" i="4"/>
  <c r="C18" i="4"/>
  <c r="B13" i="4"/>
  <c r="B20" i="4"/>
  <c r="D20" i="4" s="1"/>
  <c r="E20" i="4" s="1"/>
  <c r="B19" i="4"/>
  <c r="B17" i="4"/>
  <c r="B18" i="4"/>
  <c r="B38" i="1"/>
  <c r="B58" i="2"/>
  <c r="B38" i="4"/>
  <c r="C38" i="4" s="1"/>
  <c r="D39" i="4"/>
  <c r="B39" i="4"/>
  <c r="C39" i="4" s="1"/>
  <c r="D38" i="4"/>
  <c r="E38" i="4" s="1"/>
  <c r="D35" i="4"/>
  <c r="E35" i="4" s="1"/>
  <c r="D37" i="4"/>
  <c r="E37" i="4" s="1"/>
  <c r="B43" i="1" s="1"/>
  <c r="B37" i="4"/>
  <c r="C37" i="4" s="1"/>
  <c r="B42" i="1" s="1"/>
  <c r="D36" i="4"/>
  <c r="E36" i="4" s="1"/>
  <c r="B36" i="4"/>
  <c r="C36" i="4" s="1"/>
  <c r="B35" i="4"/>
  <c r="C35" i="4" s="1"/>
  <c r="D34" i="4"/>
  <c r="B34" i="4"/>
  <c r="C34" i="4" s="1"/>
  <c r="B19" i="3"/>
  <c r="B18" i="3"/>
  <c r="B17" i="3"/>
  <c r="D17" i="3" s="1"/>
  <c r="B9" i="3"/>
  <c r="B7" i="5"/>
  <c r="B9" i="5" s="1"/>
  <c r="B5" i="5"/>
  <c r="B28" i="4"/>
  <c r="B29" i="4" s="1"/>
  <c r="B30" i="4" s="1"/>
  <c r="B13" i="5" s="1"/>
  <c r="B41" i="1" s="1"/>
  <c r="D19" i="4" l="1"/>
  <c r="E19" i="4" s="1"/>
  <c r="D17" i="4"/>
  <c r="B39" i="1" s="1"/>
  <c r="D18" i="4"/>
  <c r="E18" i="4" s="1"/>
  <c r="E39" i="4"/>
  <c r="E34" i="4"/>
  <c r="E17" i="4"/>
  <c r="B22" i="4" s="1"/>
  <c r="B40" i="1" s="1"/>
  <c r="E47" i="3"/>
  <c r="F47" i="3" s="1"/>
  <c r="E48" i="3"/>
  <c r="F48" i="3" s="1"/>
  <c r="E49" i="3"/>
  <c r="F49" i="3" s="1"/>
  <c r="E46" i="3"/>
  <c r="B11" i="3"/>
  <c r="B8" i="1"/>
  <c r="B16" i="5"/>
  <c r="B25" i="5" s="1"/>
  <c r="B10" i="1" s="1"/>
  <c r="B11" i="1"/>
  <c r="D19" i="3"/>
  <c r="D18" i="3"/>
  <c r="F46" i="3" l="1"/>
  <c r="B50" i="3"/>
  <c r="B18" i="1" s="1"/>
  <c r="B31" i="3"/>
  <c r="E31" i="3" s="1"/>
  <c r="B32" i="3"/>
  <c r="E32" i="3" s="1"/>
  <c r="B33" i="3"/>
  <c r="E33" i="3" s="1"/>
  <c r="B34" i="3"/>
  <c r="E34" i="3" s="1"/>
  <c r="F31" i="3" l="1"/>
  <c r="B21" i="1"/>
  <c r="C21" i="1" s="1"/>
  <c r="D21" i="1" s="1"/>
  <c r="E21" i="1" s="1"/>
  <c r="B22" i="1"/>
  <c r="C22" i="1" s="1"/>
  <c r="D22" i="1" s="1"/>
  <c r="E22" i="1" s="1"/>
  <c r="F32" i="3"/>
  <c r="B23" i="1"/>
  <c r="C23" i="1" s="1"/>
  <c r="D23" i="1" s="1"/>
  <c r="E23" i="1" s="1"/>
  <c r="F33" i="3"/>
  <c r="B38" i="3"/>
  <c r="B41" i="3" s="1"/>
  <c r="F34" i="3"/>
  <c r="B24" i="1"/>
  <c r="C24" i="1" s="1"/>
  <c r="D24" i="1" s="1"/>
  <c r="E24" i="1" s="1"/>
  <c r="B9" i="1" l="1"/>
  <c r="B42" i="3"/>
  <c r="B33" i="1" l="1"/>
  <c r="C33" i="1" s="1"/>
  <c r="B32" i="1"/>
  <c r="C32" i="1" s="1"/>
  <c r="B31" i="1"/>
  <c r="C31" i="1" s="1"/>
  <c r="B30" i="1"/>
  <c r="C30" i="1" s="1"/>
  <c r="B29" i="1"/>
  <c r="C29" i="1" s="1"/>
  <c r="B28" i="1"/>
  <c r="C28" i="1" s="1"/>
  <c r="B12" i="5"/>
  <c r="B17" i="5"/>
  <c r="B20" i="5" l="1"/>
  <c r="B12" i="1"/>
  <c r="B13" i="1" l="1"/>
  <c r="B24" i="5"/>
  <c r="B17" i="1" s="1"/>
  <c r="B22" i="5"/>
  <c r="B21" i="5"/>
  <c r="B14" i="1" s="1"/>
</calcChain>
</file>

<file path=xl/sharedStrings.xml><?xml version="1.0" encoding="utf-8"?>
<sst xmlns="http://schemas.openxmlformats.org/spreadsheetml/2006/main" count="278" uniqueCount="252">
  <si>
    <t>AI Agent Cost Estimate: AtliQ Lead Capture &amp; Follow-up Assistant</t>
  </si>
  <si>
    <t>LLM cost only: what the prototype as built spends on AI per conversation and per month (capture on Claude Haiku 5.5, email drafts on Claude Haiku 5.5, Ask AI RAG on Groq), compared across 4 capture models. Hosting and one-time costs excluded.</t>
  </si>
  <si>
    <t>Headline</t>
  </si>
  <si>
    <t>Capture model</t>
  </si>
  <si>
    <t>Monthly task volume</t>
  </si>
  <si>
    <t>LLM calls per task</t>
  </si>
  <si>
    <t>Tokens per task (input / output)</t>
  </si>
  <si>
    <t>All-in cost per task</t>
  </si>
  <si>
    <t>Break-even cost per task</t>
  </si>
  <si>
    <t>Monthly cost of human agents today</t>
  </si>
  <si>
    <t>Monthly cost with the AI agent (incl. on-demand)</t>
  </si>
  <si>
    <t>Monthly saving</t>
  </si>
  <si>
    <t>% saving</t>
  </si>
  <si>
    <t>Automation rate assumed</t>
  </si>
  <si>
    <t>One-time costs</t>
  </si>
  <si>
    <t>Payback period (months)</t>
  </si>
  <si>
    <t xml:space="preserve">  of which on-demand (email drafts + questions)</t>
  </si>
  <si>
    <t>Model comparison (monthly)</t>
  </si>
  <si>
    <t>Model</t>
  </si>
  <si>
    <t>Run cost (capture on this model; drafts and Ask AI on their own models)</t>
  </si>
  <si>
    <t>Total with agent</t>
  </si>
  <si>
    <t>Sensitivity: monthly saving by automation rate (selected model)</t>
  </si>
  <si>
    <t>Automation rate</t>
  </si>
  <si>
    <t>Ask AI (RAG): pipeline questions</t>
  </si>
  <si>
    <t>Ask AI model</t>
  </si>
  <si>
    <t>Retrieval</t>
  </si>
  <si>
    <t>Input / output tokens per question</t>
  </si>
  <si>
    <t>Cost per question</t>
  </si>
  <si>
    <t>Monthly Ask AI cost</t>
  </si>
  <si>
    <t>Monthly embeddings</t>
  </si>
  <si>
    <t>Monthly Ask AI cost at 500 deals: full snapshot</t>
  </si>
  <si>
    <t>Monthly Ask AI cost at 500 deals: vector top-N</t>
  </si>
  <si>
    <t>Inputs: AtliQ Lead Capture &amp; Follow-up Assistant</t>
  </si>
  <si>
    <t>Yellow cells are inputs. Change them and every sheet recalculates.</t>
  </si>
  <si>
    <t>Input (edit me)</t>
  </si>
  <si>
    <t>Calculated</t>
  </si>
  <si>
    <t>Headline result</t>
  </si>
  <si>
    <t>Task volume</t>
  </si>
  <si>
    <t>Tasks (conversations / requests) per day</t>
  </si>
  <si>
    <t>Days per month</t>
  </si>
  <si>
    <t>Agent loop (tokens)</t>
  </si>
  <si>
    <t>System prompt</t>
  </si>
  <si>
    <t>Tool definitions / output schema (per call)</t>
  </si>
  <si>
    <t>Strict JSON schema sent with every LLM call</t>
  </si>
  <si>
    <t>User request (the conversation, sent to each call)</t>
  </si>
  <si>
    <t>Retrieved context per task (RAG)</t>
  </si>
  <si>
    <t>0 if the agent has no knowledge base</t>
  </si>
  <si>
    <t>LLM calls per task (loop steps)</t>
  </si>
  <si>
    <t>Classify + extract + date check (cross-sell folded into the averages)</t>
  </si>
  <si>
    <t>Output tokens per intermediate call</t>
  </si>
  <si>
    <t>Classify ~105 and date check ~250, incl. reasoning</t>
  </si>
  <si>
    <t>Tool result tokens per step</t>
  </si>
  <si>
    <t>0: pipeline calls are independent, nothing is fed back</t>
  </si>
  <si>
    <t>Final call output tokens</t>
  </si>
  <si>
    <t>Extraction ~1,105 + cross-sell 25% x 300</t>
  </si>
  <si>
    <t>Retry / failed-call rate</t>
  </si>
  <si>
    <t>Extra LLM spend from retries and re-plans</t>
  </si>
  <si>
    <t>Prompt-cache hit share on static prefix</t>
  </si>
  <si>
    <t>0% if the provider or setup has no prompt caching</t>
  </si>
  <si>
    <t>LLM models (price per 1M tokens)</t>
  </si>
  <si>
    <t>Input ($)</t>
  </si>
  <si>
    <t>Cached input ($)</t>
  </si>
  <si>
    <t>Output ($)</t>
  </si>
  <si>
    <t>Tokenizer factor</t>
  </si>
  <si>
    <t>openai/gpt-oss-120b (Groq)</t>
  </si>
  <si>
    <t>openai/gpt-oss-20b (Groq)</t>
  </si>
  <si>
    <t>qwen/qwen3.8-27b (Groq, preview)</t>
  </si>
  <si>
    <t>Claude Haiku 5.5 (Anthropic)</t>
  </si>
  <si>
    <t>Haiku 5.5 counts the same text as ~30% more tokens</t>
  </si>
  <si>
    <t>Capture model (classify, extract, dates, cross-sell)</t>
  </si>
  <si>
    <t>Live: LLM_PROVIDER=anthropic, CAPTURE_CLAUDE_EFFORT=low</t>
  </si>
  <si>
    <t>Guardrail / evaluator calls (per task)</t>
  </si>
  <si>
    <t>Guardrail model</t>
  </si>
  <si>
    <t>Usually a small, cheap model</t>
  </si>
  <si>
    <t>Guardrail calls per task</t>
  </si>
  <si>
    <t>Input tokens per guardrail call</t>
  </si>
  <si>
    <t>Output tokens per guardrail call</t>
  </si>
  <si>
    <t>Paid tools / APIs (per task, $)</t>
  </si>
  <si>
    <t>Tool</t>
  </si>
  <si>
    <t>Cost per call</t>
  </si>
  <si>
    <t>Calls per task</t>
  </si>
  <si>
    <t>CRM matching, grounding check, masking, reminder rules (deterministic code, no LLM)</t>
  </si>
  <si>
    <t>Infrastructure (monthly, $)</t>
  </si>
  <si>
    <t>Hosting (excluded: LLM cost only)</t>
  </si>
  <si>
    <t>Excluded by request</t>
  </si>
  <si>
    <t>One-time costs ($)</t>
  </si>
  <si>
    <t>None (LLM cost only)</t>
  </si>
  <si>
    <t>Development and go-live excluded by request</t>
  </si>
  <si>
    <t>Human baseline</t>
  </si>
  <si>
    <t>Tasks handled per human agent per day</t>
  </si>
  <si>
    <t>Manual CRM entry ~5 min per conversation (96 per 8-hour day); $4,000/month blended cost of the four sellers' time (user's figure)</t>
  </si>
  <si>
    <t>Salary per agent per month ($)</t>
  </si>
  <si>
    <t>Admin / overhead per agent per month ($)</t>
  </si>
  <si>
    <t>Automation rate (tasks the agent completes end to end)</t>
  </si>
  <si>
    <t>Escalations and human approvals stay with people</t>
  </si>
  <si>
    <t>On-demand AI features (per working day, whole team)</t>
  </si>
  <si>
    <t>Follow-up email drafts per day</t>
  </si>
  <si>
    <t>Draft reply on Follow-ups, Dashboard and Pipeline (assumption: ~5 per seller)</t>
  </si>
  <si>
    <t>Input tokens per email draft</t>
  </si>
  <si>
    <t>Rendered prompt avg 872 (6 deals) + ~70 chat-format overhead (o200k count; x tokenizer factor per model)</t>
  </si>
  <si>
    <t>Output tokens per email draft</t>
  </si>
  <si>
    <t>~150-word email + quoted facts + reasoning (assumption)</t>
  </si>
  <si>
    <t>Pipeline questions per day (Ask AI)</t>
  </si>
  <si>
    <t>Assumption: ~4 per seller</t>
  </si>
  <si>
    <t>Input tokens per question (from the Ask AI (RAG) sheet)</t>
  </si>
  <si>
    <t>Calculated: system prompt + pipeline snapshot + retrieved deals + history + question</t>
  </si>
  <si>
    <t>Output tokens per question</t>
  </si>
  <si>
    <t>Answer + cited quotes + reasoning (assumption)</t>
  </si>
  <si>
    <t>Model per AI job</t>
  </si>
  <si>
    <t>Email draft model</t>
  </si>
  <si>
    <t>Live: EMAIL_PROVIDER=anthropic</t>
  </si>
  <si>
    <t>Ask AI model (pipeline questions)</t>
  </si>
  <si>
    <t>Live: always Groq</t>
  </si>
  <si>
    <t>Ask AI retrieval (RAG): context sent with each question</t>
  </si>
  <si>
    <t>Deals in the CRM (one snapshot line each)</t>
  </si>
  <si>
    <t>Seeded CRM today; grows with the business</t>
  </si>
  <si>
    <t>Tokens per deal line in the snapshot</t>
  </si>
  <si>
    <t>Measured 11 Oct 2026: 1,975 tokens / 40 deals</t>
  </si>
  <si>
    <t>Ask AI system prompt (without context)</t>
  </si>
  <si>
    <t>Measured</t>
  </si>
  <si>
    <t>Answer schema + chat-format overhead</t>
  </si>
  <si>
    <t>Calibrated: a first-turn question on 40 deals = live ~3,070 tokens</t>
  </si>
  <si>
    <t>Question tokens</t>
  </si>
  <si>
    <t>Assumption: one-sentence question</t>
  </si>
  <si>
    <t>Chat history tokens per question (average)</t>
  </si>
  <si>
    <t>Assumption: ~30% are follow-ups resending ~620 tokens</t>
  </si>
  <si>
    <t>Deals retrieved in detail per question (top-K)</t>
  </si>
  <si>
    <t>Keyword match on deal id / company; the code allows up to 3</t>
  </si>
  <si>
    <t>Tokens per retrieved deal (record, notes, follow-ups, 2 conversations)</t>
  </si>
  <si>
    <t>Measured avg 442, max 757</t>
  </si>
  <si>
    <t>Retrieval mode: 0 = full snapshot (as built), 1 = vector top-N</t>
  </si>
  <si>
    <t>1 turns on embeddings below</t>
  </si>
  <si>
    <t>Snapshot lines kept with vector retrieval (top-N deals)</t>
  </si>
  <si>
    <t>Only used when mode = 1</t>
  </si>
  <si>
    <t>Embeddings (only used with vector retrieval)</t>
  </si>
  <si>
    <t>Embedding model</t>
  </si>
  <si>
    <t>voyage-4-lite (Voyage AI)</t>
  </si>
  <si>
    <t>Embedding price per 1M tokens ($)</t>
  </si>
  <si>
    <t>First 200M tokens free (docs.voyageai.com/docs/pricing)</t>
  </si>
  <si>
    <t>Tokens embedded per new conversation</t>
  </si>
  <si>
    <t>Same as the conversation sent to capture</t>
  </si>
  <si>
    <t>Agent Loop</t>
  </si>
  <si>
    <t>Each conversation runs 3 independent LLM calls on the capture model; on-demand features run on their own models (Inputs rows 62-63)</t>
  </si>
  <si>
    <t>Tokens per task</t>
  </si>
  <si>
    <t>Static prefix per call (system prompt + tools)</t>
  </si>
  <si>
    <t>Fixed context per call (user request + RAG context)</t>
  </si>
  <si>
    <t>History fed back per step (tool / earlier results)</t>
  </si>
  <si>
    <t>Total input tokens per task</t>
  </si>
  <si>
    <t>N x (prefix + fixed) + growth x N x (N-1) / 2</t>
  </si>
  <si>
    <t xml:space="preserve">  of which served from prompt cache</t>
  </si>
  <si>
    <t xml:space="preserve">  of which billed at full input price</t>
  </si>
  <si>
    <t>Total output tokens per task</t>
  </si>
  <si>
    <t>Step-by-step view (illustrative; totals above use the closed formula)</t>
  </si>
  <si>
    <t>Step</t>
  </si>
  <si>
    <t>Input tokens</t>
  </si>
  <si>
    <t>Output tokens</t>
  </si>
  <si>
    <t>Running total input</t>
  </si>
  <si>
    <t>Shows up to 10 steps. If you raise the step count above that, the totals stay correct.</t>
  </si>
  <si>
    <t>Cost per task by model</t>
  </si>
  <si>
    <t>Uncached input cost</t>
  </si>
  <si>
    <t>Cached input cost</t>
  </si>
  <si>
    <t>Output cost</t>
  </si>
  <si>
    <t>LLM cost per task (incl. retries)</t>
  </si>
  <si>
    <t>Monthly LLM cost</t>
  </si>
  <si>
    <t>All-in cost per task (selected model)</t>
  </si>
  <si>
    <t>LLM cost per task</t>
  </si>
  <si>
    <t>Guardrail cost per task</t>
  </si>
  <si>
    <t>Paid tool / API cost per task</t>
  </si>
  <si>
    <t>Total cost per task</t>
  </si>
  <si>
    <t>Monthly AI run cost (capture + on-demand)</t>
  </si>
  <si>
    <t>On-demand AI features: monthly cost by model</t>
  </si>
  <si>
    <t>Email drafts / month</t>
  </si>
  <si>
    <t>Questions / month</t>
  </si>
  <si>
    <t>Email draft cost</t>
  </si>
  <si>
    <t>Question cost</t>
  </si>
  <si>
    <t>Monthly on-demand cost (both on this model)</t>
  </si>
  <si>
    <t>Selected for</t>
  </si>
  <si>
    <t>Monthly on-demand cost (email model + Ask AI model)</t>
  </si>
  <si>
    <t>Retrieval-augmented answers: each question sends a snapshot line for every CRM deal plus full details for the deals it mentions. Retrieval is SQL + keyword match today (no embeddings), so the prompt grows with the CRM.</t>
  </si>
  <si>
    <t>Context built per question</t>
  </si>
  <si>
    <t>Pipeline snapshot (deals x tokens per line)</t>
  </si>
  <si>
    <t>Retrieved deal details (top-K x tokens per deal)</t>
  </si>
  <si>
    <t>Chat history</t>
  </si>
  <si>
    <t>Question</t>
  </si>
  <si>
    <t>Total input tokens per question</t>
  </si>
  <si>
    <t>Snapshot share of the prompt</t>
  </si>
  <si>
    <t>Cost per question by model</t>
  </si>
  <si>
    <t>Input cost</t>
  </si>
  <si>
    <t>Cost per question (incl. retries)</t>
  </si>
  <si>
    <t>Monthly cost</t>
  </si>
  <si>
    <t>Selected</t>
  </si>
  <si>
    <t>Questions per month</t>
  </si>
  <si>
    <t>Monthly Ask AI cost (selected model)</t>
  </si>
  <si>
    <t>Embeddings (vector retrieval option)</t>
  </si>
  <si>
    <t>Vector retrieval on (1) or off (0)</t>
  </si>
  <si>
    <t>One-time backfill tokens (every deal: line + details)</t>
  </si>
  <si>
    <t>One-time backfill cost</t>
  </si>
  <si>
    <t>Monthly tokens embedded (new conversations + questions)</t>
  </si>
  <si>
    <t>Monthly embedding cost if switched on</t>
  </si>
  <si>
    <t>Inside Voyage's 200M free tokens for years at this volume</t>
  </si>
  <si>
    <t>Monthly embedding cost counted</t>
  </si>
  <si>
    <t>Scaling: Ask AI cost as the CRM grows (selected Ask AI model)</t>
  </si>
  <si>
    <t>Deals in CRM</t>
  </si>
  <si>
    <t>Tokens / question, full snapshot (as built)</t>
  </si>
  <si>
    <t>Monthly cost, full snapshot</t>
  </si>
  <si>
    <t>Tokens / question, vector top-N</t>
  </si>
  <si>
    <t>Monthly cost, vector top-N + embeddings</t>
  </si>
  <si>
    <t>Full snapshot is simplest and fine at today's size. Past a few hundred deals the prompt passes 10-25K tokens per question: slower answers, and the model has more to read past. Switch to vector top-N then.</t>
  </si>
  <si>
    <t>Cost Saving</t>
  </si>
  <si>
    <t>Human team today vs the AI agent with human escalation</t>
  </si>
  <si>
    <t>Human agents today</t>
  </si>
  <si>
    <t>Tasks handled per agent per month</t>
  </si>
  <si>
    <t>Human agents required (FTE)</t>
  </si>
  <si>
    <t>Fractional FTE; round up when hiring</t>
  </si>
  <si>
    <t>Cost per agent per month</t>
  </si>
  <si>
    <t>Total monthly cost of human agents</t>
  </si>
  <si>
    <t>AI agent</t>
  </si>
  <si>
    <t>Agent run cost (LLM + guardrails + tools)</t>
  </si>
  <si>
    <t>Embeddings</t>
  </si>
  <si>
    <t>Ask AI vector retrieval (0 while retrieval mode = full snapshot)</t>
  </si>
  <si>
    <t>One-time embedding backfill</t>
  </si>
  <si>
    <t>Infrastructure</t>
  </si>
  <si>
    <t>Human agents still needed (escalations)</t>
  </si>
  <si>
    <t>Human cost x (1 - automation rate)</t>
  </si>
  <si>
    <t>Total monthly cost with the AI agent</t>
  </si>
  <si>
    <t>Saving</t>
  </si>
  <si>
    <t>Annual saving</t>
  </si>
  <si>
    <t>Break-even cost per task (saving = 0)</t>
  </si>
  <si>
    <t>The agent stops saving money above this all-in cost per task</t>
  </si>
  <si>
    <t>Assumptions and notes</t>
  </si>
  <si>
    <t>• Scope: LLM cost only for the prototype as deployed on 11 Oct 2026 (Railway). Hosting, infrastructure, development and go-live costs are excluded by request.</t>
  </si>
  <si>
    <t>• Prices (per 1M tokens): Claude Haiku 5.5 $0.10 in / $0.01 cache hit / $0.50 out for prompts up to 100K tokens (platform.claude.com/docs/en/about-claude/pricing, checked 11 Oct 2026); openai/gpt-oss-120b $0.15 / $0.60 and openai/gpt-oss-20b $0.075 / $0.30, qwen/qwen3.8-27b $0.80 / $4.00 (console.groq.com/docs/models, checked 7 Oct 2026); voyage-4-lite embeddings $0.02 with the first 200M tokens free (docs.voyageai.com/docs/pricing, checked 11 Oct 2026).</t>
  </si>
  <si>
    <t>• A 'task' is one captured sales conversation (email thread, meeting note or shared LinkedIn chat): 100 per working day across the 4 sellers, 22 working days a month (user's choice).</t>
  </si>
  <si>
    <t>• Three LLM calls per captured conversation: (1) classify (new lead, existing deal, existing client, internal note about several deals, not sales), (2) extract CRM fields, summary, follow-ups and new needs, (3) date check for revisit dates and deferrals. CRM matching, masking, grounding and reminder rules are code.</t>
  </si>
  <si>
    <t>• Measured live on 9 Oct 2026 (openai/gpt-oss-120b on Groq, 4 sample conversations): classify ~690 in / ~105 out, extract ~2,780 in / ~1,105 out, date check ~836 in / ~250 out tokens. The workbook spreads this as 3 calls x 1,488 input tokens (690 prompt + 278 schema + 520 conversation).</t>
  </si>
  <si>
    <t>• Cross-sell (existing clients, ~25% of conversations, ~630 in / ~300 out) is folded into the final-call output. Internal notes about several deals (~5%) run one split call (~860 in) instead of extract + date check, so they cost less and are not modelled separately.</t>
  </si>
  <si>
    <t>• On-demand features: follow-up email drafts (~940 in / ~450 out, Claude Haiku 5.5) and Ask AI pipeline questions (RAG, Groq gpt-oss-120b; built on the Ask AI (RAG) sheet). Input sizes are the app's real prompts counted with the o200k tokenizer; output sizes are assumptions.</t>
  </si>
  <si>
    <t>• Retry rate 10% (rate-limit retries and a single warmer retry when the provider rejects malformed JSON).</t>
  </si>
  <si>
    <t>• Prompt caching is not counted (0% cache hits), which is conservative. Groq caches gpt-oss prompts automatically at 50% off; Claude needs explicit cache markers and a longer prefix than this app sends, and charges 1.25x for cache writes.</t>
  </si>
  <si>
    <t>• Token counts were measured with the o200k tokenizer (gpt-oss). Claude Haiku 5.5's tokenizer counts the same text as about 30% more tokens, applied through the tokenizer factor (Inputs column E). Reasoning length at effort low is assumed equal to gpt-oss.</t>
  </si>
  <si>
    <t>• No LLM guardrail call: masking, the evidence check against the source and exclusion rules are code, and the owner confirms every draft.</t>
  </si>
  <si>
    <t>• The Cost Saving sheet is kept for reference only (4 sellers' time at $4,000/month, ~5 min manual CRM entry per conversation, 70% time saved = PRD target). It does not affect the LLM cost figures.</t>
  </si>
  <si>
    <t>• Every LLM call in the loop resends the system prompt, the tool definitions, the user request, the retrieved context and all earlier steps, so input tokens grow roughly with the square of the number of calls.</t>
  </si>
  <si>
    <t>• Input tokens per task = N x (prefix + fixed context) + growth per step x N x (N-1) / 2; output tokens = (N-1) x step output + final answer.</t>
  </si>
  <si>
    <t>• Prompt caching only discounts the static prefix (system prompt + tools), billed at the cached-input price.</t>
  </si>
  <si>
    <t>• The agent run cost assumes the agent attempts every task; escalated tasks also cost human time (Human cost x (1 - automation rate)).</t>
  </si>
  <si>
    <t>• Prices change often. Check the provider's current price list before sharing the estimate.</t>
  </si>
  <si>
    <t>• Volumes: 20 email drafts and 15 pipeline questions per working day across the 4 sellers are assumptions (edit Inputs rows 54-59). The free Groq tier (200,000 tokens per day for this model) ran out during prototype testing; 100 conversations a day needs ~600,000 tokens, so a paid tier is required.</t>
  </si>
  <si>
    <t>• Ask AI is retrieval-augmented generation without embeddings: the retriever is SQL (one snapshot line per CRM deal, ~49 tokens) plus a keyword match on deal ids and company names that adds full details for up to 3 deals (~442 tokens each). Measured 11 Oct 2026 on the seeded 40-deal CRM; the total is calibrated to the live ~3,070-token prompt.</t>
  </si>
  <si>
    <t>• Because every question carries the whole snapshot, Ask AI cost and latency grow with the CRM. The Scaling table on the Ask AI (RAG) sheet shows the switch point; vector top-N retrieval keeps the prompt flat and its embedding cost is negligible (well inside Voyage's free tier at this volume).</t>
  </si>
  <si>
    <t>• Embeddings are 0 today. Setting Inputs B74 = 1 models vector retrieval: one-time backfill of every deal plus monthly embedding of new conversations and questions.</t>
  </si>
  <si>
    <t>• Capture on Claude Haiku 5.5 is billed at the up-to-100K-token price: a capture call is ~1,500 tokens and an Ask AI call stays far below 100K until roughly 2,000 deals.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</si>
</sst>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0000"/>
    <numFmt numFmtId="165" formatCode="&quot;$&quot;#,##0.00"/>
    <numFmt numFmtId="166" formatCode="0.0%"/>
    <numFmt numFmtId="167" formatCode="0.0"/>
    <numFmt numFmtId="168" formatCode="&quot;$&quot;#,##0.0000"/>
  </numFmts>
  <fonts count="15">
    <font>
      <sz val="11"/>
      <color theme="1"/>
      <name val="Calibri"/>
      <family val="2"/>
      <scheme val="minor"/>
    </font>
    <font>
      <b/>
      <sz val="16"/>
      <color rgb="FF1F3864"/>
      <name val="Calibri"/>
    </font>
    <font>
      <i/>
      <sz val="10"/>
      <color rgb="FF7F7F7F"/>
      <name val="Calibri"/>
    </font>
    <font>
      <sz val="11"/>
      <color rgb="FF0000FF"/>
      <name val="Calibri"/>
    </font>
    <font>
      <sz val="11"/>
      <name val="Calibri"/>
    </font>
    <font>
      <b/>
      <sz val="11"/>
      <name val="Calibri"/>
    </font>
    <font>
      <b/>
      <sz val="11"/>
      <color rgb="FFFFFFFF"/>
      <name val="Calibri"/>
    </font>
    <font>
      <i/>
      <sz val="9"/>
      <color rgb="FF7F7F7F"/>
      <name val="Calibri"/>
    </font>
    <font>
      <b/>
      <sz val="11"/>
      <color rgb="FFFFFFFF"/>
      <name val="Calibri"/>
    </font>
    <font>
      <b/>
      <sz val="10"/>
      <color rgb="FFFFFFFF"/>
      <name val="Arial"/>
    </font>
    <font>
      <sz val="10"/>
      <color rgb="FF0000FF"/>
      <name val="Arial"/>
    </font>
    <font>
      <i/>
      <sz val="9"/>
      <color rgb="FF595959"/>
      <name val="Arial"/>
    </font>
    <font>
      <sz val="10"/>
      <name val="Arial"/>
    </font>
    <font>
      <b/>
      <sz val="14"/>
      <color rgb="FF1F3864"/>
      <name val="Arial"/>
    </font>
    <font>
      <b/>
      <sz val="10"/>
      <name val="Arial"/>
    </font>
  </fonts>
  <fills count="9">
    <fill>
      <patternFill patternType="none"/>
    </fill>
    <fill>
      <patternFill patternType="gray125"/>
    </fill>
    <fill>
      <patternFill patternType="solid">
        <fgColor rgb="FFFFF2CC"/>
      </patternFill>
    </fill>
    <fill>
      <patternFill patternType="solid">
        <fgColor rgb="FFE2EFDA"/>
      </patternFill>
    </fill>
    <fill>
      <patternFill patternType="solid">
        <fgColor rgb="FF1F3864"/>
      </patternFill>
    </fill>
    <fill>
      <patternFill patternType="solid">
        <fgColor rgb="FF2E75B6"/>
      </patternFill>
    </fill>
    <fill>
      <patternFill patternType="solid">
        <fgColor rgb="FF2E75B6"/>
      </patternFill>
    </fill>
    <fill>
      <patternFill patternType="solid">
        <fgColor rgb="FFFFF2CC"/>
      </patternFill>
    </fill>
    <fill>
      <patternFill patternType="solid">
        <f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6" fillId="4" borderId="0" xfId="0" applyFont="1" applyFill="1"/>
    <xf numFmtId="0" fontId="0" fillId="4" borderId="0" xfId="0" applyFill="1"/>
    <xf numFmtId="0" fontId="4" fillId="0" borderId="1" xfId="0" applyFont="1" applyBorder="1" applyAlignment="1">
      <alignment vertical="center" wrapText="1"/>
    </xf>
    <xf numFmtId="0" fontId="4" fillId="0" borderId="1" xfId="0" applyFont="1" applyBorder="1" applyAlignment="1">
      <alignment horizontal="right" vertical="center"/>
    </xf>
    <xf numFmtId="3" fontId="4" fillId="0" borderId="1" xfId="0" applyNumberFormat="1" applyFont="1" applyBorder="1" applyAlignment="1">
      <alignment horizontal="right" vertical="center"/>
    </xf>
    <xf numFmtId="0" fontId="5" fillId="0" borderId="1" xfId="0" applyFont="1" applyBorder="1" applyAlignment="1">
      <alignment vertical="center" wrapText="1"/>
    </xf>
    <xf numFmtId="164" fontId="5" fillId="3" borderId="1" xfId="0" applyNumberFormat="1" applyFont="1" applyFill="1" applyBorder="1" applyAlignment="1">
      <alignment horizontal="right" vertical="center"/>
    </xf>
    <xf numFmtId="164" fontId="4" fillId="0" borderId="1" xfId="0" applyNumberFormat="1" applyFont="1" applyBorder="1" applyAlignment="1">
      <alignment horizontal="right" vertical="center"/>
    </xf>
    <xf numFmtId="165" fontId="4" fillId="0" borderId="1" xfId="0" applyNumberFormat="1" applyFont="1" applyBorder="1" applyAlignment="1">
      <alignment horizontal="right" vertical="center"/>
    </xf>
    <xf numFmtId="165" fontId="5" fillId="3" borderId="1" xfId="0" applyNumberFormat="1" applyFont="1" applyFill="1" applyBorder="1" applyAlignment="1">
      <alignment horizontal="right" vertical="center"/>
    </xf>
    <xf numFmtId="166" fontId="5" fillId="3" borderId="1" xfId="0" applyNumberFormat="1" applyFont="1" applyFill="1" applyBorder="1" applyAlignment="1">
      <alignment horizontal="right" vertical="center"/>
    </xf>
    <xf numFmtId="166" fontId="4" fillId="0" borderId="1" xfId="0" applyNumberFormat="1" applyFont="1" applyBorder="1" applyAlignment="1">
      <alignment horizontal="right" vertical="center"/>
    </xf>
    <xf numFmtId="4" fontId="4" fillId="0" borderId="1" xfId="0" applyNumberFormat="1" applyFont="1" applyBorder="1" applyAlignment="1">
      <alignment horizontal="right" vertical="center"/>
    </xf>
    <xf numFmtId="0" fontId="8" fillId="5"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166" fontId="3" fillId="2" borderId="1" xfId="0" applyNumberFormat="1" applyFont="1" applyFill="1" applyBorder="1" applyAlignment="1">
      <alignment horizontal="center"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3" borderId="1" xfId="0" applyFont="1" applyFill="1" applyBorder="1" applyAlignment="1">
      <alignment horizontal="left" vertical="center" wrapText="1"/>
    </xf>
    <xf numFmtId="3" fontId="3" fillId="2" borderId="1" xfId="0" applyNumberFormat="1" applyFont="1" applyFill="1" applyBorder="1" applyAlignment="1">
      <alignment horizontal="right" vertical="center"/>
    </xf>
    <xf numFmtId="0" fontId="7" fillId="0" borderId="0" xfId="0" applyFont="1" applyAlignment="1">
      <alignment vertical="center"/>
    </xf>
    <xf numFmtId="166" fontId="3" fillId="2" borderId="1" xfId="0" applyNumberFormat="1" applyFont="1" applyFill="1" applyBorder="1" applyAlignment="1">
      <alignment horizontal="right" vertical="center"/>
    </xf>
    <xf numFmtId="165" fontId="3" fillId="2" borderId="1"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4" fontId="3" fillId="2" borderId="1" xfId="0" applyNumberFormat="1" applyFont="1" applyFill="1" applyBorder="1" applyAlignment="1">
      <alignment horizontal="right" vertical="center"/>
    </xf>
    <xf numFmtId="3" fontId="5" fillId="3" borderId="1" xfId="0" applyNumberFormat="1" applyFont="1" applyFill="1" applyBorder="1" applyAlignment="1">
      <alignment horizontal="right" vertical="center"/>
    </xf>
    <xf numFmtId="3" fontId="4" fillId="0" borderId="1" xfId="0" applyNumberFormat="1" applyFont="1" applyBorder="1" applyAlignment="1">
      <alignment horizontal="center" vertical="center"/>
    </xf>
    <xf numFmtId="0" fontId="7" fillId="0" borderId="0" xfId="0" applyFont="1"/>
    <xf numFmtId="0" fontId="0" fillId="0" borderId="0" xfId="0" applyAlignment="1">
      <alignment vertical="top" wrapText="1"/>
    </xf>
    <xf numFmtId="0" fontId="9" fillId="8" borderId="0" xfId="0" applyFont="1" applyFill="1"/>
    <xf numFmtId="0" fontId="0" fillId="8" borderId="0" xfId="0" applyFill="1"/>
    <xf numFmtId="0" fontId="4" fillId="0" borderId="1" xfId="0" applyFont="1" applyBorder="1"/>
    <xf numFmtId="0" fontId="5" fillId="0" borderId="1" xfId="0" applyFont="1" applyBorder="1" applyAlignment="1">
      <alignment horizontal="right" vertical="center"/>
    </xf>
    <xf numFmtId="168"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0" fontId="9" fillId="6" borderId="2" xfId="0" applyFont="1" applyFill="1" applyBorder="1"/>
    <xf numFmtId="2" fontId="10" fillId="7" borderId="2" xfId="0" applyNumberFormat="1" applyFont="1" applyFill="1" applyBorder="1"/>
    <xf numFmtId="0" fontId="11" fillId="0" borderId="0" xfId="0" applyFont="1"/>
    <xf numFmtId="3" fontId="12" fillId="2" borderId="2" xfId="0" applyNumberFormat="1" applyFont="1" applyFill="1" applyBorder="1" applyAlignment="1">
      <alignment horizontal="right" vertical="center"/>
    </xf>
    <xf numFmtId="0" fontId="12" fillId="0" borderId="2" xfId="0" applyFont="1" applyBorder="1" applyAlignment="1">
      <alignment vertical="center" wrapText="1"/>
    </xf>
    <xf numFmtId="0" fontId="10" fillId="7" borderId="2" xfId="0" applyFont="1" applyFill="1" applyBorder="1"/>
    <xf numFmtId="3" fontId="10" fillId="7" borderId="2" xfId="0" applyNumberFormat="1" applyFont="1" applyFill="1" applyBorder="1"/>
    <xf numFmtId="167" fontId="10" fillId="7" borderId="2" xfId="0" applyNumberFormat="1" applyFont="1" applyFill="1" applyBorder="1"/>
    <xf numFmtId="1" fontId="10" fillId="7" borderId="2" xfId="0" applyNumberFormat="1" applyFont="1" applyFill="1" applyBorder="1"/>
    <xf numFmtId="168" fontId="10" fillId="7" borderId="2" xfId="0" applyNumberFormat="1" applyFont="1" applyFill="1" applyBorder="1"/>
    <xf numFmtId="3" fontId="12" fillId="0" borderId="2" xfId="0" applyNumberFormat="1" applyFont="1" applyBorder="1"/>
    <xf numFmtId="0" fontId="13" fillId="0" borderId="0" xfId="0" applyFont="1"/>
    <xf numFmtId="0" fontId="14" fillId="0" borderId="2" xfId="0" applyFont="1" applyBorder="1" applyAlignment="1">
      <alignment vertical="center" wrapText="1"/>
    </xf>
    <xf numFmtId="3" fontId="14" fillId="0" borderId="2" xfId="0" applyNumberFormat="1" applyFont="1" applyBorder="1"/>
    <xf numFmtId="9" fontId="12" fillId="0" borderId="2" xfId="0" applyNumberFormat="1" applyFont="1" applyBorder="1"/>
    <xf numFmtId="0" fontId="9" fillId="6" borderId="2" xfId="0" applyFont="1" applyFill="1" applyBorder="1" applyAlignment="1">
      <alignment vertical="center" wrapText="1"/>
    </xf>
    <xf numFmtId="0" fontId="12" fillId="0" borderId="2" xfId="0" applyFont="1" applyBorder="1"/>
    <xf numFmtId="168" fontId="12" fillId="0" borderId="2" xfId="0" applyNumberFormat="1" applyFont="1" applyBorder="1"/>
    <xf numFmtId="165" fontId="12" fillId="0" borderId="2" xfId="0" applyNumberFormat="1" applyFont="1" applyBorder="1"/>
    <xf numFmtId="165" fontId="14" fillId="0" borderId="2" xfId="0" applyNumberFormat="1" applyFont="1" applyBorder="1"/>
    <xf numFmtId="1" fontId="12" fillId="0" borderId="2" xfId="0" applyNumberFormat="1" applyFont="1" applyBorder="1"/>
    <xf numFmtId="168" fontId="14" fillId="0" borderId="2"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showGridLines="0" tabSelected="1" workbookViewId="0"/>
  </sheetViews>
  <sheetFormatPr defaultRowHeight="14.5"/>
  <cols>
    <col min="1" max="1" width="46" customWidth="1"/>
    <col min="2" max="5" width="20" customWidth="1"/>
    <col min="6" max="6" width="16" customWidth="1"/>
  </cols>
  <sheetData>
    <row r="1" spans="1:6" ht="26" customHeight="1">
      <c r="A1" s="1" t="s">
        <v>0</v>
      </c>
    </row>
    <row r="2" spans="1:6">
      <c r="A2" s="2" t="s">
        <v>1</v>
      </c>
    </row>
    <row r="4" spans="1:6">
      <c r="A4" s="3" t="s">
        <v>2</v>
      </c>
      <c r="B4" s="4"/>
      <c r="C4" s="4"/>
      <c r="D4" s="4"/>
      <c r="E4" s="4"/>
      <c r="F4" s="4"/>
    </row>
    <row r="5" spans="1:6">
      <c r="A5" s="5" t="s">
        <v>3</v>
      </c>
      <c r="B5" s="6" t="str">
        <f>Inputs!$B$29</f>
        <v>Claude Haiku 5.5 (Anthropic)</v>
      </c>
    </row>
    <row r="6" spans="1:6">
      <c r="A6" s="5" t="s">
        <v>4</v>
      </c>
      <c r="B6" s="7">
        <f>Inputs!$B$9</f>
        <v>2200</v>
      </c>
    </row>
    <row r="7" spans="1:6">
      <c r="A7" s="5" t="s">
        <v>5</v>
      </c>
      <c r="B7" s="7">
        <f>Inputs!$B$16</f>
        <v>3</v>
      </c>
    </row>
    <row r="8" spans="1:6">
      <c r="A8" s="5" t="s">
        <v>6</v>
      </c>
      <c r="B8" s="6" t="str">
        <f>TEXT('Agent Loop'!$B$9,"#,##0")&amp;" / "&amp;TEXT('Agent Loop'!$B$12,"#,##0")</f>
        <v>4,464 / 1,535</v>
      </c>
    </row>
    <row r="9" spans="1:6">
      <c r="A9" s="8" t="s">
        <v>7</v>
      </c>
      <c r="B9" s="9">
        <f>'Agent Loop'!$B$41</f>
        <v>1.735877E-3</v>
      </c>
    </row>
    <row r="10" spans="1:6">
      <c r="A10" s="5" t="s">
        <v>8</v>
      </c>
      <c r="B10" s="10">
        <f>'Cost Saving'!$B$25</f>
        <v>1.3257575757575759</v>
      </c>
    </row>
    <row r="11" spans="1:6">
      <c r="A11" s="5" t="s">
        <v>9</v>
      </c>
      <c r="B11" s="11">
        <f>'Cost Saving'!$B$9</f>
        <v>4166.666666666667</v>
      </c>
    </row>
    <row r="12" spans="1:6">
      <c r="A12" s="8" t="s">
        <v>10</v>
      </c>
      <c r="B12" s="12">
        <f>'Cost Saving'!$B$17</f>
        <v>1254.3278312000002</v>
      </c>
    </row>
    <row r="13" spans="1:6">
      <c r="A13" s="8" t="s">
        <v>11</v>
      </c>
      <c r="B13" s="12">
        <f>'Cost Saving'!$B$20</f>
        <v>2912.3388354666668</v>
      </c>
    </row>
    <row r="14" spans="1:6">
      <c r="A14" s="8" t="s">
        <v>12</v>
      </c>
      <c r="B14" s="13">
        <f>'Cost Saving'!$B$21</f>
        <v>0.698961320512</v>
      </c>
    </row>
    <row r="15" spans="1:6">
      <c r="A15" s="5" t="s">
        <v>13</v>
      </c>
      <c r="B15" s="14">
        <f>Inputs!$B$51</f>
        <v>0.7</v>
      </c>
    </row>
    <row r="16" spans="1:6">
      <c r="A16" s="5" t="s">
        <v>14</v>
      </c>
      <c r="B16" s="11">
        <f>'Cost Saving'!$B$23</f>
        <v>0</v>
      </c>
    </row>
    <row r="17" spans="1:6">
      <c r="A17" s="5" t="s">
        <v>15</v>
      </c>
      <c r="B17" s="15">
        <f>'Cost Saving'!$B$24</f>
        <v>0</v>
      </c>
    </row>
    <row r="18" spans="1:6">
      <c r="A18" s="5" t="s">
        <v>16</v>
      </c>
      <c r="B18" s="12">
        <f>'Agent Loop'!$B$50</f>
        <v>0.50890180000000007</v>
      </c>
    </row>
    <row r="19" spans="1:6">
      <c r="A19" s="3" t="s">
        <v>17</v>
      </c>
      <c r="B19" s="4"/>
      <c r="C19" s="4"/>
      <c r="D19" s="4"/>
      <c r="E19" s="4"/>
      <c r="F19" s="4"/>
    </row>
    <row r="20" spans="1:6" ht="30" customHeight="1">
      <c r="A20" s="16" t="s">
        <v>18</v>
      </c>
      <c r="B20" s="16" t="s">
        <v>19</v>
      </c>
      <c r="C20" s="16" t="s">
        <v>20</v>
      </c>
      <c r="D20" s="16" t="s">
        <v>11</v>
      </c>
      <c r="E20" s="16" t="s">
        <v>12</v>
      </c>
      <c r="F20" s="16"/>
    </row>
    <row r="21" spans="1:6">
      <c r="A21" s="17" t="str">
        <f>Inputs!$A$25</f>
        <v>openai/gpt-oss-120b (Groq)</v>
      </c>
      <c r="B21" s="11">
        <f>('Agent Loop'!$E$31+'Agent Loop'!$B$39+'Agent Loop'!$B$40)*Inputs!$B$9+'Agent Loop'!$B$50+'Cost Saving'!$B$13</f>
        <v>4.3581538000000011</v>
      </c>
      <c r="C21" s="11">
        <f>Summary!$B$21+'Cost Saving'!$B$15+'Cost Saving'!$B$16</f>
        <v>1254.3581538000003</v>
      </c>
      <c r="D21" s="11">
        <f>'Cost Saving'!$B$9-Summary!$C$21</f>
        <v>2912.3085128666667</v>
      </c>
      <c r="E21" s="14">
        <f>IF('Cost Saving'!$B$9=0,0,Summary!$D$21/'Cost Saving'!$B$9)</f>
        <v>0.69895404308799991</v>
      </c>
      <c r="F21" s="18" t="str">
        <f>IF(Inputs!$A$25=Inputs!$B$29,"Selected","")</f>
        <v/>
      </c>
    </row>
    <row r="22" spans="1:6">
      <c r="A22" s="17" t="str">
        <f>Inputs!$A$26</f>
        <v>openai/gpt-oss-20b (Groq)</v>
      </c>
      <c r="B22" s="11">
        <f>('Agent Loop'!$E$32+'Agent Loop'!$B$39+'Agent Loop'!$B$40)*Inputs!$B$9+'Agent Loop'!$B$50+'Cost Saving'!$B$13</f>
        <v>2.4335278000000002</v>
      </c>
      <c r="C22" s="11">
        <f>Summary!$B$22+'Cost Saving'!$B$15+'Cost Saving'!$B$16</f>
        <v>1252.4335278000003</v>
      </c>
      <c r="D22" s="11">
        <f>'Cost Saving'!$B$9-Summary!$C$22</f>
        <v>2914.2331388666666</v>
      </c>
      <c r="E22" s="14">
        <f>IF('Cost Saving'!$B$9=0,0,Summary!$D$22/'Cost Saving'!$B$9)</f>
        <v>0.699415953328</v>
      </c>
      <c r="F22" s="18" t="str">
        <f>IF(Inputs!$A$26=Inputs!$B$29,"Selected","")</f>
        <v/>
      </c>
    </row>
    <row r="23" spans="1:6">
      <c r="A23" s="17" t="str">
        <f>Inputs!$A$27</f>
        <v>qwen/qwen3.8-27b (Groq, preview)</v>
      </c>
      <c r="B23" s="11">
        <f>('Agent Loop'!$E$33+'Agent Loop'!$B$39+'Agent Loop'!$B$40)*Inputs!$B$9+'Agent Loop'!$B$50+'Cost Saving'!$B$13</f>
        <v>24.010005800000002</v>
      </c>
      <c r="C23" s="11">
        <f>Summary!$B$23+'Cost Saving'!$B$15+'Cost Saving'!$B$16</f>
        <v>1274.0100058000003</v>
      </c>
      <c r="D23" s="11">
        <f>'Cost Saving'!$B$9-Summary!$C$23</f>
        <v>2892.6566608666667</v>
      </c>
      <c r="E23" s="14">
        <f>IF('Cost Saving'!$B$9=0,0,Summary!$D$23/'Cost Saving'!$B$9)</f>
        <v>0.69423759860799994</v>
      </c>
      <c r="F23" s="18" t="str">
        <f>IF(Inputs!$A$27=Inputs!$B$29,"Selected","")</f>
        <v/>
      </c>
    </row>
    <row r="24" spans="1:6">
      <c r="A24" s="17" t="str">
        <f>Inputs!$A$28</f>
        <v>Claude Haiku 5.5 (Anthropic)</v>
      </c>
      <c r="B24" s="11">
        <f>('Agent Loop'!$E$34+'Agent Loop'!$B$39+'Agent Loop'!$B$40)*Inputs!$B$9+'Agent Loop'!$B$50+'Cost Saving'!$B$13</f>
        <v>4.3278312000000003</v>
      </c>
      <c r="C24" s="11">
        <f>Summary!$B$24+'Cost Saving'!$B$15+'Cost Saving'!$B$16</f>
        <v>1254.3278312000002</v>
      </c>
      <c r="D24" s="11">
        <f>'Cost Saving'!$B$9-Summary!$C$24</f>
        <v>2912.3388354666668</v>
      </c>
      <c r="E24" s="14">
        <f>IF('Cost Saving'!$B$9=0,0,Summary!$D$24/'Cost Saving'!$B$9)</f>
        <v>0.698961320512</v>
      </c>
      <c r="F24" s="18" t="str">
        <f>IF(Inputs!$A$28=Inputs!$B$29,"Selected","")</f>
        <v>Selected</v>
      </c>
    </row>
    <row r="26" spans="1:6">
      <c r="A26" s="3" t="s">
        <v>21</v>
      </c>
      <c r="B26" s="4"/>
      <c r="C26" s="4"/>
      <c r="D26" s="4"/>
      <c r="E26" s="4"/>
      <c r="F26" s="4"/>
    </row>
    <row r="27" spans="1:6" ht="30" customHeight="1">
      <c r="A27" s="16" t="s">
        <v>22</v>
      </c>
      <c r="B27" s="16" t="s">
        <v>11</v>
      </c>
      <c r="C27" s="16" t="s">
        <v>12</v>
      </c>
    </row>
    <row r="28" spans="1:6">
      <c r="A28" s="19">
        <v>0.4</v>
      </c>
      <c r="B28" s="11">
        <f>'Cost Saving'!$B$9*Summary!$A$28-'Agent Loop'!$B$42-'Cost Saving'!$B$13-'Cost Saving'!$B$15</f>
        <v>1662.338835466667</v>
      </c>
      <c r="C28" s="14">
        <f>IF('Cost Saving'!$B$9=0,0,Summary!$B$28/'Cost Saving'!$B$9)</f>
        <v>0.39896132051200006</v>
      </c>
    </row>
    <row r="29" spans="1:6">
      <c r="A29" s="19">
        <v>0.5</v>
      </c>
      <c r="B29" s="11">
        <f>'Cost Saving'!$B$9*Summary!$A$29-'Agent Loop'!$B$42-'Cost Saving'!$B$13-'Cost Saving'!$B$15</f>
        <v>2079.0055021333333</v>
      </c>
      <c r="C29" s="14">
        <f>IF('Cost Saving'!$B$9=0,0,Summary!$B$29/'Cost Saving'!$B$9)</f>
        <v>0.49896132051199993</v>
      </c>
    </row>
    <row r="30" spans="1:6">
      <c r="A30" s="19">
        <v>0.6</v>
      </c>
      <c r="B30" s="11">
        <f>'Cost Saving'!$B$9*Summary!$A$30-'Agent Loop'!$B$42-'Cost Saving'!$B$13-'Cost Saving'!$B$15</f>
        <v>2495.6721687999998</v>
      </c>
      <c r="C30" s="14">
        <f>IF('Cost Saving'!$B$9=0,0,Summary!$B$30/'Cost Saving'!$B$9)</f>
        <v>0.59896132051199991</v>
      </c>
    </row>
    <row r="31" spans="1:6">
      <c r="A31" s="19">
        <v>0.7</v>
      </c>
      <c r="B31" s="11">
        <f>'Cost Saving'!$B$9*Summary!$A$31-'Agent Loop'!$B$42-'Cost Saving'!$B$13-'Cost Saving'!$B$15</f>
        <v>2912.3388354666663</v>
      </c>
      <c r="C31" s="14">
        <f>IF('Cost Saving'!$B$9=0,0,Summary!$B$31/'Cost Saving'!$B$9)</f>
        <v>0.69896132051199988</v>
      </c>
    </row>
    <row r="32" spans="1:6">
      <c r="A32" s="19">
        <v>0.8</v>
      </c>
      <c r="B32" s="11">
        <f>'Cost Saving'!$B$9*Summary!$A$32-'Agent Loop'!$B$42-'Cost Saving'!$B$13-'Cost Saving'!$B$15</f>
        <v>3329.0055021333337</v>
      </c>
      <c r="C32" s="14">
        <f>IF('Cost Saving'!$B$9=0,0,Summary!$B$32/'Cost Saving'!$B$9)</f>
        <v>0.79896132051200008</v>
      </c>
    </row>
    <row r="33" spans="1:3">
      <c r="A33" s="19">
        <v>0.9</v>
      </c>
      <c r="B33" s="11">
        <f>'Cost Saving'!$B$9*Summary!$A$33-'Agent Loop'!$B$42-'Cost Saving'!$B$13-'Cost Saving'!$B$15</f>
        <v>3745.6721688000002</v>
      </c>
      <c r="C33" s="14">
        <f>IF('Cost Saving'!$B$9=0,0,Summary!$B$33/'Cost Saving'!$B$9)</f>
        <v>0.89896132051199995</v>
      </c>
    </row>
    <row r="35" spans="1:3">
      <c r="A35" s="33" t="s">
        <v>23</v>
      </c>
      <c r="B35" s="34"/>
      <c r="C35" s="34"/>
    </row>
    <row r="36" spans="1:3">
      <c r="A36" s="35" t="s">
        <v>24</v>
      </c>
      <c r="B36" s="36" t="str">
        <f>Inputs!$B$63</f>
        <v>openai/gpt-oss-120b (Groq)</v>
      </c>
    </row>
    <row r="37" spans="1:3">
      <c r="A37" s="35" t="s">
        <v>25</v>
      </c>
      <c r="B37" s="36" t="str">
        <f>IF(Inputs!$B$74=1,"Vector top-"&amp;Inputs!$B$75&amp;" + keyword","Full pipeline snapshot + keyword match (as built)")</f>
        <v>Full pipeline snapshot + keyword match (as built)</v>
      </c>
    </row>
    <row r="38" spans="1:3">
      <c r="A38" s="35" t="s">
        <v>26</v>
      </c>
      <c r="B38" s="36" t="str">
        <f>TEXT('Ask AI (RAG)'!$B$11,"#,##0")&amp;" / "&amp;TEXT('Ask AI (RAG)'!$B$12,"#,##0")</f>
        <v>3,260 / 600</v>
      </c>
    </row>
    <row r="39" spans="1:3">
      <c r="A39" s="35" t="s">
        <v>27</v>
      </c>
      <c r="B39" s="37">
        <f>INDEX('Ask AI (RAG)'!$D$17:$D$20,MATCH(Inputs!$B$63,'Ask AI (RAG)'!$A$17:$A$20,0))</f>
        <v>9.3389999999999999E-4</v>
      </c>
    </row>
    <row r="40" spans="1:3">
      <c r="A40" s="35" t="s">
        <v>28</v>
      </c>
      <c r="B40" s="38">
        <f>'Ask AI (RAG)'!$B$22</f>
        <v>0.30818699999999999</v>
      </c>
    </row>
    <row r="41" spans="1:3">
      <c r="A41" s="35" t="s">
        <v>29</v>
      </c>
      <c r="B41" s="37">
        <f>'Cost Saving'!$B$13</f>
        <v>0</v>
      </c>
    </row>
    <row r="42" spans="1:3">
      <c r="A42" s="35" t="s">
        <v>30</v>
      </c>
      <c r="B42" s="38">
        <f>'Ask AI (RAG)'!$C$37</f>
        <v>1.5354900000000002</v>
      </c>
    </row>
    <row r="43" spans="1:3">
      <c r="A43" s="35" t="s">
        <v>31</v>
      </c>
      <c r="B43" s="38">
        <f>'Ask AI (RAG)'!$E$37</f>
        <v>0.27787100000000003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0"/>
  <sheetViews>
    <sheetView showGridLines="0" workbookViewId="0"/>
  </sheetViews>
  <sheetFormatPr defaultRowHeight="14.5"/>
  <cols>
    <col min="1" max="1" width="44" customWidth="1"/>
    <col min="2" max="2" width="16" customWidth="1"/>
    <col min="3" max="3" width="13" customWidth="1"/>
    <col min="4" max="4" width="16" customWidth="1"/>
    <col min="5" max="5" width="14" customWidth="1"/>
    <col min="6" max="6" width="16" customWidth="1"/>
    <col min="7" max="7" width="50" customWidth="1"/>
  </cols>
  <sheetData>
    <row r="1" spans="1:7" ht="26" customHeight="1">
      <c r="A1" s="1" t="s">
        <v>32</v>
      </c>
    </row>
    <row r="2" spans="1:7">
      <c r="A2" s="2" t="s">
        <v>33</v>
      </c>
    </row>
    <row r="4" spans="1:7" ht="29">
      <c r="A4" s="20" t="s">
        <v>34</v>
      </c>
      <c r="B4" s="21" t="s">
        <v>35</v>
      </c>
      <c r="C4" s="22" t="s">
        <v>36</v>
      </c>
    </row>
    <row r="6" spans="1:7">
      <c r="A6" s="3" t="s">
        <v>37</v>
      </c>
      <c r="B6" s="4"/>
      <c r="C6" s="4"/>
      <c r="D6" s="4"/>
      <c r="E6" s="4"/>
      <c r="F6" s="4"/>
      <c r="G6" s="4"/>
    </row>
    <row r="7" spans="1:7">
      <c r="A7" s="5" t="s">
        <v>38</v>
      </c>
      <c r="B7" s="23">
        <v>100</v>
      </c>
    </row>
    <row r="8" spans="1:7">
      <c r="A8" s="5" t="s">
        <v>39</v>
      </c>
      <c r="B8" s="23">
        <v>22</v>
      </c>
    </row>
    <row r="9" spans="1:7">
      <c r="A9" s="5" t="s">
        <v>4</v>
      </c>
      <c r="B9" s="7">
        <f>Inputs!$B$7*Inputs!$B$8</f>
        <v>2200</v>
      </c>
    </row>
    <row r="11" spans="1:7">
      <c r="A11" s="3" t="s">
        <v>40</v>
      </c>
      <c r="B11" s="4"/>
      <c r="C11" s="4"/>
      <c r="D11" s="4"/>
      <c r="E11" s="4"/>
      <c r="F11" s="4"/>
      <c r="G11" s="4"/>
    </row>
    <row r="12" spans="1:7">
      <c r="A12" s="5" t="s">
        <v>41</v>
      </c>
      <c r="B12" s="23">
        <v>690</v>
      </c>
    </row>
    <row r="13" spans="1:7">
      <c r="A13" s="5" t="s">
        <v>42</v>
      </c>
      <c r="B13" s="23">
        <v>278</v>
      </c>
      <c r="C13" s="24" t="s">
        <v>43</v>
      </c>
    </row>
    <row r="14" spans="1:7">
      <c r="A14" s="5" t="s">
        <v>44</v>
      </c>
      <c r="B14" s="23">
        <v>520</v>
      </c>
    </row>
    <row r="15" spans="1:7">
      <c r="A15" s="5" t="s">
        <v>45</v>
      </c>
      <c r="B15" s="23">
        <v>0</v>
      </c>
      <c r="C15" s="24" t="s">
        <v>46</v>
      </c>
    </row>
    <row r="16" spans="1:7">
      <c r="A16" s="5" t="s">
        <v>47</v>
      </c>
      <c r="B16" s="23">
        <v>3</v>
      </c>
      <c r="C16" s="24" t="s">
        <v>48</v>
      </c>
    </row>
    <row r="17" spans="1:7">
      <c r="A17" s="5" t="s">
        <v>49</v>
      </c>
      <c r="B17" s="23">
        <v>178</v>
      </c>
      <c r="C17" s="24" t="s">
        <v>50</v>
      </c>
    </row>
    <row r="18" spans="1:7">
      <c r="A18" s="5" t="s">
        <v>51</v>
      </c>
      <c r="B18" s="23">
        <v>0</v>
      </c>
      <c r="C18" s="24" t="s">
        <v>52</v>
      </c>
    </row>
    <row r="19" spans="1:7">
      <c r="A19" s="5" t="s">
        <v>53</v>
      </c>
      <c r="B19" s="23">
        <v>1179</v>
      </c>
      <c r="C19" t="s">
        <v>54</v>
      </c>
    </row>
    <row r="20" spans="1:7">
      <c r="A20" s="5" t="s">
        <v>55</v>
      </c>
      <c r="B20" s="25">
        <v>0.1</v>
      </c>
      <c r="C20" s="24" t="s">
        <v>56</v>
      </c>
    </row>
    <row r="21" spans="1:7">
      <c r="A21" s="5" t="s">
        <v>57</v>
      </c>
      <c r="B21" s="25">
        <v>0</v>
      </c>
      <c r="C21" s="24" t="s">
        <v>58</v>
      </c>
    </row>
    <row r="23" spans="1:7">
      <c r="A23" s="3" t="s">
        <v>59</v>
      </c>
      <c r="B23" s="4"/>
      <c r="C23" s="4"/>
      <c r="D23" s="4"/>
      <c r="E23" s="4"/>
      <c r="F23" s="4"/>
      <c r="G23" s="4"/>
    </row>
    <row r="24" spans="1:7" ht="30" customHeight="1">
      <c r="A24" s="16" t="s">
        <v>18</v>
      </c>
      <c r="B24" s="16" t="s">
        <v>60</v>
      </c>
      <c r="C24" s="16" t="s">
        <v>61</v>
      </c>
      <c r="D24" s="16" t="s">
        <v>62</v>
      </c>
      <c r="E24" s="39" t="s">
        <v>63</v>
      </c>
    </row>
    <row r="25" spans="1:7">
      <c r="A25" s="20" t="s">
        <v>64</v>
      </c>
      <c r="B25" s="26">
        <v>0.15</v>
      </c>
      <c r="C25" s="26">
        <v>7.4999999999999997E-2</v>
      </c>
      <c r="D25" s="26">
        <v>0.6</v>
      </c>
      <c r="E25" s="40">
        <v>1</v>
      </c>
    </row>
    <row r="26" spans="1:7">
      <c r="A26" s="20" t="s">
        <v>65</v>
      </c>
      <c r="B26" s="26">
        <v>7.4999999999999997E-2</v>
      </c>
      <c r="C26" s="26">
        <v>3.7499999999999999E-2</v>
      </c>
      <c r="D26" s="26">
        <v>0.3</v>
      </c>
      <c r="E26" s="40">
        <v>1</v>
      </c>
    </row>
    <row r="27" spans="1:7">
      <c r="A27" s="20" t="s">
        <v>66</v>
      </c>
      <c r="B27" s="26">
        <v>0.8</v>
      </c>
      <c r="C27" s="26">
        <v>0.8</v>
      </c>
      <c r="D27" s="26">
        <v>4</v>
      </c>
      <c r="E27" s="40">
        <v>1</v>
      </c>
    </row>
    <row r="28" spans="1:7">
      <c r="A28" s="20" t="s">
        <v>67</v>
      </c>
      <c r="B28" s="26">
        <v>0.1</v>
      </c>
      <c r="C28" s="26">
        <v>0.01</v>
      </c>
      <c r="D28" s="26">
        <v>0.5</v>
      </c>
      <c r="E28" s="40">
        <v>1.3</v>
      </c>
      <c r="F28" s="41" t="s">
        <v>68</v>
      </c>
    </row>
    <row r="29" spans="1:7" ht="29" customHeight="1">
      <c r="A29" s="5" t="s">
        <v>69</v>
      </c>
      <c r="B29" s="20" t="s">
        <v>67</v>
      </c>
      <c r="C29" s="24" t="s">
        <v>70</v>
      </c>
    </row>
    <row r="31" spans="1:7">
      <c r="A31" s="3" t="s">
        <v>71</v>
      </c>
      <c r="B31" s="4"/>
      <c r="C31" s="4"/>
      <c r="D31" s="4"/>
      <c r="E31" s="4"/>
      <c r="F31" s="4"/>
      <c r="G31" s="4"/>
    </row>
    <row r="32" spans="1:7" ht="29" customHeight="1">
      <c r="A32" s="5" t="s">
        <v>72</v>
      </c>
      <c r="B32" s="20" t="s">
        <v>64</v>
      </c>
      <c r="C32" s="24" t="s">
        <v>73</v>
      </c>
    </row>
    <row r="33" spans="1:7">
      <c r="A33" s="5" t="s">
        <v>74</v>
      </c>
      <c r="B33" s="23">
        <v>0</v>
      </c>
    </row>
    <row r="34" spans="1:7">
      <c r="A34" s="5" t="s">
        <v>75</v>
      </c>
      <c r="B34" s="23">
        <v>0</v>
      </c>
    </row>
    <row r="35" spans="1:7">
      <c r="A35" s="5" t="s">
        <v>76</v>
      </c>
      <c r="B35" s="23">
        <v>0</v>
      </c>
    </row>
    <row r="37" spans="1:7">
      <c r="A37" s="3" t="s">
        <v>77</v>
      </c>
      <c r="B37" s="4"/>
      <c r="C37" s="4"/>
      <c r="D37" s="4"/>
      <c r="E37" s="4"/>
      <c r="F37" s="4"/>
      <c r="G37" s="4"/>
    </row>
    <row r="38" spans="1:7" ht="30" customHeight="1">
      <c r="A38" s="16" t="s">
        <v>78</v>
      </c>
      <c r="B38" s="16" t="s">
        <v>79</v>
      </c>
      <c r="C38" s="16" t="s">
        <v>80</v>
      </c>
    </row>
    <row r="39" spans="1:7" ht="29" customHeight="1">
      <c r="A39" s="20" t="s">
        <v>81</v>
      </c>
      <c r="B39" s="27">
        <v>0</v>
      </c>
      <c r="C39" s="28">
        <v>1</v>
      </c>
    </row>
    <row r="41" spans="1:7">
      <c r="A41" s="3" t="s">
        <v>82</v>
      </c>
      <c r="B41" s="4"/>
      <c r="C41" s="4"/>
      <c r="D41" s="4"/>
      <c r="E41" s="4"/>
      <c r="F41" s="4"/>
      <c r="G41" s="4"/>
    </row>
    <row r="42" spans="1:7">
      <c r="A42" s="5" t="s">
        <v>83</v>
      </c>
      <c r="B42" s="26">
        <v>0</v>
      </c>
      <c r="C42" s="24" t="s">
        <v>84</v>
      </c>
    </row>
    <row r="44" spans="1:7">
      <c r="A44" s="3" t="s">
        <v>85</v>
      </c>
      <c r="B44" s="4"/>
      <c r="C44" s="4"/>
      <c r="D44" s="4"/>
      <c r="E44" s="4"/>
      <c r="F44" s="4"/>
      <c r="G44" s="4"/>
    </row>
    <row r="45" spans="1:7">
      <c r="A45" s="5" t="s">
        <v>86</v>
      </c>
      <c r="B45" s="26">
        <v>0</v>
      </c>
      <c r="C45" s="24" t="s">
        <v>87</v>
      </c>
    </row>
    <row r="47" spans="1:7">
      <c r="A47" s="3" t="s">
        <v>88</v>
      </c>
      <c r="B47" s="4"/>
      <c r="C47" s="4"/>
      <c r="D47" s="4"/>
      <c r="E47" s="4"/>
      <c r="F47" s="4"/>
      <c r="G47" s="4"/>
    </row>
    <row r="48" spans="1:7">
      <c r="A48" s="5" t="s">
        <v>89</v>
      </c>
      <c r="B48" s="23">
        <v>96</v>
      </c>
      <c r="C48" s="24" t="s">
        <v>90</v>
      </c>
    </row>
    <row r="49" spans="1:7">
      <c r="A49" s="5" t="s">
        <v>91</v>
      </c>
      <c r="B49" s="26">
        <v>4000</v>
      </c>
    </row>
    <row r="50" spans="1:7">
      <c r="A50" s="5" t="s">
        <v>92</v>
      </c>
      <c r="B50" s="26">
        <v>0</v>
      </c>
    </row>
    <row r="51" spans="1:7" ht="29" customHeight="1">
      <c r="A51" s="5" t="s">
        <v>93</v>
      </c>
      <c r="B51" s="25">
        <v>0.7</v>
      </c>
      <c r="C51" s="24" t="s">
        <v>94</v>
      </c>
    </row>
    <row r="53" spans="1:7">
      <c r="A53" s="3" t="s">
        <v>95</v>
      </c>
      <c r="B53" s="4"/>
      <c r="C53" s="4"/>
      <c r="D53" s="4"/>
      <c r="E53" s="4"/>
      <c r="F53" s="4"/>
      <c r="G53" s="4"/>
    </row>
    <row r="54" spans="1:7">
      <c r="A54" s="5" t="s">
        <v>96</v>
      </c>
      <c r="B54" s="23">
        <v>20</v>
      </c>
      <c r="C54" s="24" t="s">
        <v>97</v>
      </c>
    </row>
    <row r="55" spans="1:7">
      <c r="A55" s="5" t="s">
        <v>98</v>
      </c>
      <c r="B55" s="23">
        <v>940</v>
      </c>
      <c r="C55" s="24" t="s">
        <v>99</v>
      </c>
    </row>
    <row r="56" spans="1:7">
      <c r="A56" s="5" t="s">
        <v>100</v>
      </c>
      <c r="B56" s="23">
        <v>450</v>
      </c>
      <c r="C56" s="24" t="s">
        <v>101</v>
      </c>
    </row>
    <row r="57" spans="1:7">
      <c r="A57" s="5" t="s">
        <v>102</v>
      </c>
      <c r="B57" s="23">
        <v>15</v>
      </c>
      <c r="C57" s="24" t="s">
        <v>103</v>
      </c>
    </row>
    <row r="58" spans="1:7" ht="29">
      <c r="A58" s="5" t="s">
        <v>104</v>
      </c>
      <c r="B58" s="42">
        <f>'Ask AI (RAG)'!$B$11</f>
        <v>3260</v>
      </c>
      <c r="C58" s="24" t="s">
        <v>105</v>
      </c>
    </row>
    <row r="59" spans="1:7">
      <c r="A59" s="5" t="s">
        <v>106</v>
      </c>
      <c r="B59" s="23">
        <v>600</v>
      </c>
      <c r="C59" s="24" t="s">
        <v>107</v>
      </c>
    </row>
    <row r="61" spans="1:7">
      <c r="A61" s="33" t="s">
        <v>108</v>
      </c>
      <c r="B61" s="34"/>
      <c r="C61" s="34"/>
    </row>
    <row r="62" spans="1:7">
      <c r="A62" s="43" t="s">
        <v>109</v>
      </c>
      <c r="B62" s="44" t="s">
        <v>67</v>
      </c>
      <c r="C62" s="41" t="s">
        <v>110</v>
      </c>
    </row>
    <row r="63" spans="1:7">
      <c r="A63" s="43" t="s">
        <v>111</v>
      </c>
      <c r="B63" s="44" t="s">
        <v>64</v>
      </c>
      <c r="C63" s="41" t="s">
        <v>112</v>
      </c>
    </row>
    <row r="65" spans="1:3">
      <c r="A65" s="33" t="s">
        <v>113</v>
      </c>
      <c r="B65" s="34"/>
      <c r="C65" s="34"/>
    </row>
    <row r="66" spans="1:3">
      <c r="A66" s="43" t="s">
        <v>114</v>
      </c>
      <c r="B66" s="45">
        <v>40</v>
      </c>
      <c r="C66" s="41" t="s">
        <v>115</v>
      </c>
    </row>
    <row r="67" spans="1:3">
      <c r="A67" s="43" t="s">
        <v>116</v>
      </c>
      <c r="B67" s="45">
        <v>49</v>
      </c>
      <c r="C67" s="41" t="s">
        <v>117</v>
      </c>
    </row>
    <row r="68" spans="1:3">
      <c r="A68" s="43" t="s">
        <v>118</v>
      </c>
      <c r="B68" s="45">
        <v>166</v>
      </c>
      <c r="C68" s="41" t="s">
        <v>119</v>
      </c>
    </row>
    <row r="69" spans="1:3">
      <c r="A69" s="43" t="s">
        <v>120</v>
      </c>
      <c r="B69" s="45">
        <v>477</v>
      </c>
      <c r="C69" s="41" t="s">
        <v>121</v>
      </c>
    </row>
    <row r="70" spans="1:3">
      <c r="A70" s="43" t="s">
        <v>122</v>
      </c>
      <c r="B70" s="45">
        <v>25</v>
      </c>
      <c r="C70" s="41" t="s">
        <v>123</v>
      </c>
    </row>
    <row r="71" spans="1:3">
      <c r="A71" s="43" t="s">
        <v>124</v>
      </c>
      <c r="B71" s="45">
        <v>190</v>
      </c>
      <c r="C71" s="41" t="s">
        <v>125</v>
      </c>
    </row>
    <row r="72" spans="1:3">
      <c r="A72" s="43" t="s">
        <v>126</v>
      </c>
      <c r="B72" s="46">
        <v>1</v>
      </c>
      <c r="C72" s="41" t="s">
        <v>127</v>
      </c>
    </row>
    <row r="73" spans="1:3" ht="25">
      <c r="A73" s="43" t="s">
        <v>128</v>
      </c>
      <c r="B73" s="45">
        <v>442</v>
      </c>
      <c r="C73" s="41" t="s">
        <v>129</v>
      </c>
    </row>
    <row r="74" spans="1:3" ht="25">
      <c r="A74" s="43" t="s">
        <v>130</v>
      </c>
      <c r="B74" s="47">
        <v>0</v>
      </c>
      <c r="C74" s="41" t="s">
        <v>131</v>
      </c>
    </row>
    <row r="75" spans="1:3" ht="25">
      <c r="A75" s="43" t="s">
        <v>132</v>
      </c>
      <c r="B75" s="45">
        <v>20</v>
      </c>
      <c r="C75" s="41" t="s">
        <v>133</v>
      </c>
    </row>
    <row r="77" spans="1:3">
      <c r="A77" s="33" t="s">
        <v>134</v>
      </c>
      <c r="B77" s="34"/>
      <c r="C77" s="34"/>
    </row>
    <row r="78" spans="1:3">
      <c r="A78" s="43" t="s">
        <v>135</v>
      </c>
      <c r="B78" s="44" t="s">
        <v>136</v>
      </c>
    </row>
    <row r="79" spans="1:3">
      <c r="A79" s="43" t="s">
        <v>137</v>
      </c>
      <c r="B79" s="48">
        <v>0.02</v>
      </c>
      <c r="C79" s="41" t="s">
        <v>138</v>
      </c>
    </row>
    <row r="80" spans="1:3">
      <c r="A80" s="43" t="s">
        <v>139</v>
      </c>
      <c r="B80" s="49">
        <f>Inputs!$B$14</f>
        <v>520</v>
      </c>
      <c r="C80" s="41" t="s">
        <v>140</v>
      </c>
    </row>
  </sheetData>
  <dataValidations count="1">
    <dataValidation type="list" sqref="B29 B32 B62:B63" xr:uid="{00000000-0002-0000-0100-000000000000}">
      <formula1>$A$25:$A$28</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
  <sheetViews>
    <sheetView showGridLines="0" workbookViewId="0"/>
  </sheetViews>
  <sheetFormatPr defaultRowHeight="14.5"/>
  <cols>
    <col min="1" max="1" width="44" customWidth="1"/>
    <col min="2" max="3" width="16" customWidth="1"/>
    <col min="4" max="6" width="18" customWidth="1"/>
    <col min="7" max="7" width="20" customWidth="1"/>
    <col min="8" max="8" width="14" customWidth="1"/>
  </cols>
  <sheetData>
    <row r="1" spans="1:8" ht="26" customHeight="1">
      <c r="A1" s="1" t="s">
        <v>141</v>
      </c>
    </row>
    <row r="2" spans="1:8">
      <c r="A2" s="2" t="s">
        <v>142</v>
      </c>
    </row>
    <row r="4" spans="1:8">
      <c r="A4" s="3" t="s">
        <v>143</v>
      </c>
      <c r="B4" s="4"/>
      <c r="C4" s="4"/>
      <c r="D4" s="4"/>
      <c r="E4" s="4"/>
      <c r="F4" s="4"/>
      <c r="G4" s="4"/>
      <c r="H4" s="4"/>
    </row>
    <row r="5" spans="1:8">
      <c r="A5" s="5" t="s">
        <v>144</v>
      </c>
      <c r="B5" s="7">
        <f>Inputs!$B$12+Inputs!$B$13</f>
        <v>968</v>
      </c>
    </row>
    <row r="6" spans="1:8">
      <c r="A6" s="5" t="s">
        <v>145</v>
      </c>
      <c r="B6" s="7">
        <f>Inputs!$B$14+Inputs!$B$15</f>
        <v>520</v>
      </c>
    </row>
    <row r="7" spans="1:8">
      <c r="A7" s="5" t="s">
        <v>146</v>
      </c>
      <c r="B7" s="7">
        <f>Inputs!$B$18</f>
        <v>0</v>
      </c>
    </row>
    <row r="8" spans="1:8">
      <c r="A8" s="5" t="s">
        <v>5</v>
      </c>
      <c r="B8" s="7">
        <f>Inputs!$B$16</f>
        <v>3</v>
      </c>
    </row>
    <row r="9" spans="1:8">
      <c r="A9" s="8" t="s">
        <v>147</v>
      </c>
      <c r="B9" s="29">
        <f>Inputs!$B$16*('Agent Loop'!$B$5+'Agent Loop'!$B$6)+'Agent Loop'!$B$7*Inputs!$B$16*(Inputs!$B$16-1)/2</f>
        <v>4464</v>
      </c>
      <c r="C9" s="24" t="s">
        <v>148</v>
      </c>
    </row>
    <row r="10" spans="1:8">
      <c r="A10" s="5" t="s">
        <v>149</v>
      </c>
      <c r="B10" s="7">
        <f>Inputs!$B$16*'Agent Loop'!$B$5*Inputs!$B$21</f>
        <v>0</v>
      </c>
    </row>
    <row r="11" spans="1:8">
      <c r="A11" s="5" t="s">
        <v>150</v>
      </c>
      <c r="B11" s="7">
        <f>'Agent Loop'!$B$9-'Agent Loop'!$B$10</f>
        <v>4464</v>
      </c>
    </row>
    <row r="12" spans="1:8">
      <c r="A12" s="8" t="s">
        <v>151</v>
      </c>
      <c r="B12" s="29">
        <f>(Inputs!$B$16-1)*Inputs!$B$17+Inputs!$B$19</f>
        <v>1535</v>
      </c>
    </row>
    <row r="13" spans="1:8">
      <c r="A13" s="5" t="s">
        <v>55</v>
      </c>
      <c r="B13" s="14">
        <f>Inputs!$B$20</f>
        <v>0.1</v>
      </c>
    </row>
    <row r="15" spans="1:8">
      <c r="A15" s="3" t="s">
        <v>152</v>
      </c>
      <c r="B15" s="4"/>
      <c r="C15" s="4"/>
      <c r="D15" s="4"/>
      <c r="E15" s="4"/>
      <c r="F15" s="4"/>
      <c r="G15" s="4"/>
      <c r="H15" s="4"/>
    </row>
    <row r="16" spans="1:8" ht="30" customHeight="1">
      <c r="A16" s="16" t="s">
        <v>153</v>
      </c>
      <c r="B16" s="16" t="s">
        <v>154</v>
      </c>
      <c r="C16" s="16" t="s">
        <v>155</v>
      </c>
      <c r="D16" s="16" t="s">
        <v>156</v>
      </c>
    </row>
    <row r="17" spans="1:8">
      <c r="A17" s="30">
        <v>1</v>
      </c>
      <c r="B17" s="7">
        <f>IF('Agent Loop'!$A$17&lt;=Inputs!$B$16,'Agent Loop'!$B$5+'Agent Loop'!$B$6+('Agent Loop'!$A$17-1)*'Agent Loop'!$B$7,"")</f>
        <v>1488</v>
      </c>
      <c r="C17" s="7">
        <f>IF('Agent Loop'!$A$17&lt;Inputs!$B$16,Inputs!$B$17,IF('Agent Loop'!$A$17=Inputs!$B$16,Inputs!$B$19,""))</f>
        <v>178</v>
      </c>
      <c r="D17" s="7">
        <f>IF(B17="","",SUM($B$17:B17))</f>
        <v>1488</v>
      </c>
    </row>
    <row r="18" spans="1:8">
      <c r="A18" s="30">
        <v>2</v>
      </c>
      <c r="B18" s="7">
        <f>IF('Agent Loop'!$A$18&lt;=Inputs!$B$16,'Agent Loop'!$B$5+'Agent Loop'!$B$6+('Agent Loop'!$A$18-1)*'Agent Loop'!$B$7,"")</f>
        <v>1488</v>
      </c>
      <c r="C18" s="7">
        <f>IF('Agent Loop'!$A$18&lt;Inputs!$B$16,Inputs!$B$17,IF('Agent Loop'!$A$18=Inputs!$B$16,Inputs!$B$19,""))</f>
        <v>178</v>
      </c>
      <c r="D18" s="7">
        <f>IF(B18="","",SUM($B$17:B18))</f>
        <v>2976</v>
      </c>
    </row>
    <row r="19" spans="1:8">
      <c r="A19" s="30">
        <v>3</v>
      </c>
      <c r="B19" s="7">
        <f>IF('Agent Loop'!$A$19&lt;=Inputs!$B$16,'Agent Loop'!$B$5+'Agent Loop'!$B$6+('Agent Loop'!$A$19-1)*'Agent Loop'!$B$7,"")</f>
        <v>1488</v>
      </c>
      <c r="C19" s="7">
        <f>IF('Agent Loop'!$A$19&lt;Inputs!$B$16,Inputs!$B$17,IF('Agent Loop'!$A$19=Inputs!$B$16,Inputs!$B$19,""))</f>
        <v>1179</v>
      </c>
      <c r="D19" s="7">
        <f>IF(B19="","",SUM($B$17:B19))</f>
        <v>4464</v>
      </c>
    </row>
    <row r="20" spans="1:8">
      <c r="A20" s="30">
        <v>4</v>
      </c>
      <c r="B20" s="7" t="str">
        <f>IF('Agent Loop'!$A$20&lt;=Inputs!$B$16,'Agent Loop'!$B$5+'Agent Loop'!$B$6+('Agent Loop'!$A$20-1)*'Agent Loop'!$B$7,"")</f>
        <v/>
      </c>
      <c r="C20" s="7" t="str">
        <f>IF('Agent Loop'!$A$20&lt;Inputs!$B$16,Inputs!$B$17,IF('Agent Loop'!$A$20=Inputs!$B$16,Inputs!$B$19,""))</f>
        <v/>
      </c>
      <c r="D20" s="7" t="str">
        <f>IF(B20="","",SUM($B$17:B20))</f>
        <v/>
      </c>
    </row>
    <row r="21" spans="1:8">
      <c r="A21" s="30">
        <v>5</v>
      </c>
      <c r="B21" s="7" t="str">
        <f>IF('Agent Loop'!$A$21&lt;=Inputs!$B$16,'Agent Loop'!$B$5+'Agent Loop'!$B$6+('Agent Loop'!$A$21-1)*'Agent Loop'!$B$7,"")</f>
        <v/>
      </c>
      <c r="C21" s="7" t="str">
        <f>IF('Agent Loop'!$A$21&lt;Inputs!$B$16,Inputs!$B$17,IF('Agent Loop'!$A$21=Inputs!$B$16,Inputs!$B$19,""))</f>
        <v/>
      </c>
      <c r="D21" s="7" t="str">
        <f>IF(B21="","",SUM($B$17:B21))</f>
        <v/>
      </c>
    </row>
    <row r="22" spans="1:8">
      <c r="A22" s="30">
        <v>6</v>
      </c>
      <c r="B22" s="7" t="str">
        <f>IF('Agent Loop'!$A$22&lt;=Inputs!$B$16,'Agent Loop'!$B$5+'Agent Loop'!$B$6+('Agent Loop'!$A$22-1)*'Agent Loop'!$B$7,"")</f>
        <v/>
      </c>
      <c r="C22" s="7" t="str">
        <f>IF('Agent Loop'!$A$22&lt;Inputs!$B$16,Inputs!$B$17,IF('Agent Loop'!$A$22=Inputs!$B$16,Inputs!$B$19,""))</f>
        <v/>
      </c>
      <c r="D22" s="7" t="str">
        <f>IF(B22="","",SUM($B$17:B22))</f>
        <v/>
      </c>
    </row>
    <row r="23" spans="1:8">
      <c r="A23" s="30">
        <v>7</v>
      </c>
      <c r="B23" s="7" t="str">
        <f>IF('Agent Loop'!$A$23&lt;=Inputs!$B$16,'Agent Loop'!$B$5+'Agent Loop'!$B$6+('Agent Loop'!$A$23-1)*'Agent Loop'!$B$7,"")</f>
        <v/>
      </c>
      <c r="C23" s="7" t="str">
        <f>IF('Agent Loop'!$A$23&lt;Inputs!$B$16,Inputs!$B$17,IF('Agent Loop'!$A$23=Inputs!$B$16,Inputs!$B$19,""))</f>
        <v/>
      </c>
      <c r="D23" s="7" t="str">
        <f>IF(B23="","",SUM($B$17:B23))</f>
        <v/>
      </c>
    </row>
    <row r="24" spans="1:8">
      <c r="A24" s="30">
        <v>8</v>
      </c>
      <c r="B24" s="7" t="str">
        <f>IF('Agent Loop'!$A$24&lt;=Inputs!$B$16,'Agent Loop'!$B$5+'Agent Loop'!$B$6+('Agent Loop'!$A$24-1)*'Agent Loop'!$B$7,"")</f>
        <v/>
      </c>
      <c r="C24" s="7" t="str">
        <f>IF('Agent Loop'!$A$24&lt;Inputs!$B$16,Inputs!$B$17,IF('Agent Loop'!$A$24=Inputs!$B$16,Inputs!$B$19,""))</f>
        <v/>
      </c>
      <c r="D24" s="7" t="str">
        <f>IF(B24="","",SUM($B$17:B24))</f>
        <v/>
      </c>
    </row>
    <row r="25" spans="1:8">
      <c r="A25" s="30">
        <v>9</v>
      </c>
      <c r="B25" s="7" t="str">
        <f>IF('Agent Loop'!$A$25&lt;=Inputs!$B$16,'Agent Loop'!$B$5+'Agent Loop'!$B$6+('Agent Loop'!$A$25-1)*'Agent Loop'!$B$7,"")</f>
        <v/>
      </c>
      <c r="C25" s="7" t="str">
        <f>IF('Agent Loop'!$A$25&lt;Inputs!$B$16,Inputs!$B$17,IF('Agent Loop'!$A$25=Inputs!$B$16,Inputs!$B$19,""))</f>
        <v/>
      </c>
      <c r="D25" s="7" t="str">
        <f>IF(B25="","",SUM($B$17:B25))</f>
        <v/>
      </c>
    </row>
    <row r="26" spans="1:8">
      <c r="A26" s="30">
        <v>10</v>
      </c>
      <c r="B26" s="7" t="str">
        <f>IF('Agent Loop'!$A$26&lt;=Inputs!$B$16,'Agent Loop'!$B$5+'Agent Loop'!$B$6+('Agent Loop'!$A$26-1)*'Agent Loop'!$B$7,"")</f>
        <v/>
      </c>
      <c r="C26" s="7" t="str">
        <f>IF('Agent Loop'!$A$26&lt;Inputs!$B$16,Inputs!$B$17,IF('Agent Loop'!$A$26=Inputs!$B$16,Inputs!$B$19,""))</f>
        <v/>
      </c>
      <c r="D26" s="7" t="str">
        <f>IF(B26="","",SUM($B$17:B26))</f>
        <v/>
      </c>
    </row>
    <row r="27" spans="1:8">
      <c r="A27" s="31" t="s">
        <v>157</v>
      </c>
    </row>
    <row r="29" spans="1:8">
      <c r="A29" s="3" t="s">
        <v>158</v>
      </c>
      <c r="B29" s="4"/>
      <c r="C29" s="4"/>
      <c r="D29" s="4"/>
      <c r="E29" s="4"/>
      <c r="F29" s="4"/>
      <c r="G29" s="4"/>
      <c r="H29" s="4"/>
    </row>
    <row r="30" spans="1:8" ht="30" customHeight="1">
      <c r="A30" s="16" t="s">
        <v>18</v>
      </c>
      <c r="B30" s="16" t="s">
        <v>159</v>
      </c>
      <c r="C30" s="16" t="s">
        <v>160</v>
      </c>
      <c r="D30" s="16" t="s">
        <v>161</v>
      </c>
      <c r="E30" s="16" t="s">
        <v>162</v>
      </c>
      <c r="F30" s="16" t="s">
        <v>163</v>
      </c>
      <c r="G30" s="16"/>
      <c r="H30" s="16"/>
    </row>
    <row r="31" spans="1:8">
      <c r="A31" s="17" t="str">
        <f>Inputs!$A$25</f>
        <v>openai/gpt-oss-120b (Groq)</v>
      </c>
      <c r="B31" s="10">
        <f>'Agent Loop'!$B$11*Inputs!$B$25*Inputs!$E$25/1000000</f>
        <v>6.6960000000000001E-4</v>
      </c>
      <c r="C31" s="10">
        <f>'Agent Loop'!$B$10*Inputs!$C$25*Inputs!$E$25/1000000</f>
        <v>0</v>
      </c>
      <c r="D31" s="10">
        <f>'Agent Loop'!$B$12*Inputs!$D$25*Inputs!$E$25/1000000</f>
        <v>9.2100000000000005E-4</v>
      </c>
      <c r="E31" s="10">
        <f>('Agent Loop'!$B$31+'Agent Loop'!$C$31+'Agent Loop'!$D$31)*(1+Inputs!$B$20)</f>
        <v>1.7496600000000003E-3</v>
      </c>
      <c r="F31" s="11">
        <f>'Agent Loop'!$E$31*Inputs!$B$9</f>
        <v>3.8492520000000008</v>
      </c>
      <c r="G31" s="18" t="str">
        <f>IF(Inputs!$A$25=Inputs!$B$29,"Selected","")</f>
        <v/>
      </c>
    </row>
    <row r="32" spans="1:8">
      <c r="A32" s="17" t="str">
        <f>Inputs!$A$26</f>
        <v>openai/gpt-oss-20b (Groq)</v>
      </c>
      <c r="B32" s="10">
        <f>'Agent Loop'!$B$11*Inputs!$B$26*Inputs!$E$26/1000000</f>
        <v>3.3480000000000001E-4</v>
      </c>
      <c r="C32" s="10">
        <f>'Agent Loop'!$B$10*Inputs!$C$26*Inputs!$E$26/1000000</f>
        <v>0</v>
      </c>
      <c r="D32" s="10">
        <f>'Agent Loop'!$B$12*Inputs!$D$26*Inputs!$E$26/1000000</f>
        <v>4.6050000000000003E-4</v>
      </c>
      <c r="E32" s="10">
        <f>('Agent Loop'!$B$32+'Agent Loop'!$C$32+'Agent Loop'!$D$32)*(1+Inputs!$B$20)</f>
        <v>8.7483000000000016E-4</v>
      </c>
      <c r="F32" s="11">
        <f>'Agent Loop'!$E$32*Inputs!$B$9</f>
        <v>1.9246260000000004</v>
      </c>
      <c r="G32" s="18" t="str">
        <f>IF(Inputs!$A$26=Inputs!$B$29,"Selected","")</f>
        <v/>
      </c>
    </row>
    <row r="33" spans="1:8">
      <c r="A33" s="17" t="str">
        <f>Inputs!$A$27</f>
        <v>qwen/qwen3.8-27b (Groq, preview)</v>
      </c>
      <c r="B33" s="10">
        <f>'Agent Loop'!$B$11*Inputs!$B$27*Inputs!$E$27/1000000</f>
        <v>3.5712000000000001E-3</v>
      </c>
      <c r="C33" s="10">
        <f>'Agent Loop'!$B$10*Inputs!$C$27*Inputs!$E$27/1000000</f>
        <v>0</v>
      </c>
      <c r="D33" s="10">
        <f>'Agent Loop'!$B$12*Inputs!$D$27*Inputs!$E$27/1000000</f>
        <v>6.1399999999999996E-3</v>
      </c>
      <c r="E33" s="10">
        <f>('Agent Loop'!$B$33+'Agent Loop'!$C$33+'Agent Loop'!$D$33)*(1+Inputs!$B$20)</f>
        <v>1.068232E-2</v>
      </c>
      <c r="F33" s="11">
        <f>'Agent Loop'!$E$33*Inputs!$B$9</f>
        <v>23.501104000000002</v>
      </c>
      <c r="G33" s="18" t="str">
        <f>IF(Inputs!$A$27=Inputs!$B$29,"Selected","")</f>
        <v/>
      </c>
    </row>
    <row r="34" spans="1:8">
      <c r="A34" s="17" t="str">
        <f>Inputs!$A$28</f>
        <v>Claude Haiku 5.5 (Anthropic)</v>
      </c>
      <c r="B34" s="10">
        <f>'Agent Loop'!$B$11*Inputs!$B$28*Inputs!$E$28/1000000</f>
        <v>5.8032000000000005E-4</v>
      </c>
      <c r="C34" s="10">
        <f>'Agent Loop'!$B$10*Inputs!$C$28*Inputs!$E$28/1000000</f>
        <v>0</v>
      </c>
      <c r="D34" s="10">
        <f>'Agent Loop'!$B$12*Inputs!$D$28*Inputs!$E$28/1000000</f>
        <v>9.9774999999999994E-4</v>
      </c>
      <c r="E34" s="10">
        <f>('Agent Loop'!$B$34+'Agent Loop'!$C$34+'Agent Loop'!$D$34)*(1+Inputs!$B$20)</f>
        <v>1.735877E-3</v>
      </c>
      <c r="F34" s="11">
        <f>'Agent Loop'!$E$34*Inputs!$B$9</f>
        <v>3.8189294</v>
      </c>
      <c r="G34" s="18" t="str">
        <f>IF(Inputs!$A$28=Inputs!$B$29,"Selected","")</f>
        <v>Selected</v>
      </c>
    </row>
    <row r="36" spans="1:8">
      <c r="A36" s="3" t="s">
        <v>164</v>
      </c>
      <c r="B36" s="4"/>
      <c r="C36" s="4"/>
      <c r="D36" s="4"/>
      <c r="E36" s="4"/>
      <c r="F36" s="4"/>
      <c r="G36" s="4"/>
      <c r="H36" s="4"/>
    </row>
    <row r="37" spans="1:8">
      <c r="A37" s="5" t="s">
        <v>3</v>
      </c>
      <c r="B37" s="6" t="str">
        <f>Inputs!$B$29</f>
        <v>Claude Haiku 5.5 (Anthropic)</v>
      </c>
    </row>
    <row r="38" spans="1:8">
      <c r="A38" s="5" t="s">
        <v>165</v>
      </c>
      <c r="B38" s="10">
        <f>INDEX($E$31:$E$34,MATCH(Inputs!$B$29,$A$31:$A$34,0))</f>
        <v>1.735877E-3</v>
      </c>
    </row>
    <row r="39" spans="1:8">
      <c r="A39" s="5" t="s">
        <v>166</v>
      </c>
      <c r="B39" s="10">
        <f>Inputs!$B$33*(Inputs!$B$34*INDEX(Inputs!$B$25:$B$28,MATCH(Inputs!$B$32,Inputs!$A$25:$A$28,0))+Inputs!$B$35*INDEX(Inputs!$D$25:$D$28,MATCH(Inputs!$B$32,Inputs!$A$25:$A$28,0)))/1000000</f>
        <v>0</v>
      </c>
    </row>
    <row r="40" spans="1:8">
      <c r="A40" s="5" t="s">
        <v>167</v>
      </c>
      <c r="B40" s="10">
        <f>Inputs!$B$39*Inputs!$C$39</f>
        <v>0</v>
      </c>
    </row>
    <row r="41" spans="1:8">
      <c r="A41" s="8" t="s">
        <v>168</v>
      </c>
      <c r="B41" s="9">
        <f>'Agent Loop'!$B$38+'Agent Loop'!$B$39+'Agent Loop'!$B$40</f>
        <v>1.735877E-3</v>
      </c>
    </row>
    <row r="42" spans="1:8">
      <c r="A42" s="8" t="s">
        <v>169</v>
      </c>
      <c r="B42" s="12">
        <f>'Agent Loop'!$B$41*Inputs!$B$9+'Agent Loop'!$B$50</f>
        <v>4.3278312000000003</v>
      </c>
    </row>
    <row r="44" spans="1:8">
      <c r="A44" s="3" t="s">
        <v>170</v>
      </c>
      <c r="B44" s="4"/>
      <c r="C44" s="4"/>
      <c r="D44" s="4"/>
      <c r="E44" s="4"/>
      <c r="F44" s="4"/>
      <c r="G44" s="4"/>
    </row>
    <row r="45" spans="1:8" ht="29" customHeight="1">
      <c r="A45" s="16" t="s">
        <v>18</v>
      </c>
      <c r="B45" s="16" t="s">
        <v>171</v>
      </c>
      <c r="C45" s="16" t="s">
        <v>172</v>
      </c>
      <c r="D45" s="16" t="s">
        <v>173</v>
      </c>
      <c r="E45" s="16" t="s">
        <v>174</v>
      </c>
      <c r="F45" s="16" t="s">
        <v>175</v>
      </c>
      <c r="G45" s="16" t="s">
        <v>176</v>
      </c>
    </row>
    <row r="46" spans="1:8">
      <c r="A46" s="17" t="str">
        <f>Inputs!$A$25</f>
        <v>openai/gpt-oss-120b (Groq)</v>
      </c>
      <c r="B46" s="7">
        <f>Inputs!$B$54*Inputs!$B$8</f>
        <v>440</v>
      </c>
      <c r="C46" s="7">
        <f>Inputs!$B$57*Inputs!$B$8</f>
        <v>330</v>
      </c>
      <c r="D46" s="10">
        <f>(Inputs!$B$55*Inputs!$B$25+Inputs!$B$56*Inputs!$D$25)*Inputs!$E$25/1000000*(1+Inputs!$B$20)</f>
        <v>4.5210000000000004E-4</v>
      </c>
      <c r="E46" s="10">
        <f>(Inputs!$B$58*Inputs!$B$25+Inputs!$B$59*Inputs!$D$25)*Inputs!$E$25/1000000*(1+Inputs!$B$20)</f>
        <v>9.3390000000000009E-4</v>
      </c>
      <c r="F46" s="11">
        <f>'Agent Loop'!$B$46*'Agent Loop'!$D$46+'Agent Loop'!$C$46*'Agent Loop'!$E$46</f>
        <v>0.50711100000000009</v>
      </c>
      <c r="G46" s="18" t="str">
        <f>TRIM(IF(Inputs!$A$25=Inputs!$B$62,"Email ","")&amp;IF(Inputs!$A$25=Inputs!$B$63,"Ask AI",""))</f>
        <v>Ask AI</v>
      </c>
    </row>
    <row r="47" spans="1:8">
      <c r="A47" s="17" t="str">
        <f>Inputs!$A$26</f>
        <v>openai/gpt-oss-20b (Groq)</v>
      </c>
      <c r="B47" s="7">
        <f>Inputs!$B$54*Inputs!$B$8</f>
        <v>440</v>
      </c>
      <c r="C47" s="7">
        <f>Inputs!$B$57*Inputs!$B$8</f>
        <v>330</v>
      </c>
      <c r="D47" s="10">
        <f>(Inputs!$B$55*Inputs!$B$26+Inputs!$B$56*Inputs!$D$26)*Inputs!$E$26/1000000*(1+Inputs!$B$20)</f>
        <v>2.2605000000000002E-4</v>
      </c>
      <c r="E47" s="10">
        <f>(Inputs!$B$58*Inputs!$B$26+Inputs!$B$59*Inputs!$D$26)*Inputs!$E$26/1000000*(1+Inputs!$B$20)</f>
        <v>4.6695000000000005E-4</v>
      </c>
      <c r="F47" s="11">
        <f>'Agent Loop'!$B$47*'Agent Loop'!$D$47+'Agent Loop'!$C$47*'Agent Loop'!$E$47</f>
        <v>0.25355550000000004</v>
      </c>
      <c r="G47" s="18" t="str">
        <f>TRIM(IF(Inputs!$A$26=Inputs!$B$62,"Email ","")&amp;IF(Inputs!$A$26=Inputs!$B$63,"Ask AI",""))</f>
        <v/>
      </c>
    </row>
    <row r="48" spans="1:8">
      <c r="A48" s="17" t="str">
        <f>Inputs!$A$27</f>
        <v>qwen/qwen3.8-27b (Groq, preview)</v>
      </c>
      <c r="B48" s="7">
        <f>Inputs!$B$54*Inputs!$B$8</f>
        <v>440</v>
      </c>
      <c r="C48" s="7">
        <f>Inputs!$B$57*Inputs!$B$8</f>
        <v>330</v>
      </c>
      <c r="D48" s="10">
        <f>(Inputs!$B$55*Inputs!$B$27+Inputs!$B$56*Inputs!$D$27)*Inputs!$E$27/1000000*(1+Inputs!$B$20)</f>
        <v>2.8072000000000001E-3</v>
      </c>
      <c r="E48" s="10">
        <f>(Inputs!$B$58*Inputs!$B$27+Inputs!$B$59*Inputs!$D$27)*Inputs!$E$27/1000000*(1+Inputs!$B$20)</f>
        <v>5.5088000000000012E-3</v>
      </c>
      <c r="F48" s="11">
        <f>'Agent Loop'!$B$48*'Agent Loop'!$D$48+'Agent Loop'!$C$48*'Agent Loop'!$E$48</f>
        <v>3.0530720000000002</v>
      </c>
      <c r="G48" s="18" t="str">
        <f>TRIM(IF(Inputs!$A$27=Inputs!$B$62,"Email ","")&amp;IF(Inputs!$A$27=Inputs!$B$63,"Ask AI",""))</f>
        <v/>
      </c>
    </row>
    <row r="49" spans="1:7">
      <c r="A49" s="17" t="str">
        <f>Inputs!$A$28</f>
        <v>Claude Haiku 5.5 (Anthropic)</v>
      </c>
      <c r="B49" s="7">
        <f>Inputs!$B$54*Inputs!$B$8</f>
        <v>440</v>
      </c>
      <c r="C49" s="7">
        <f>Inputs!$B$57*Inputs!$B$8</f>
        <v>330</v>
      </c>
      <c r="D49" s="10">
        <f>(Inputs!$B$55*Inputs!$B$28+Inputs!$B$56*Inputs!$D$28)*Inputs!$E$28/1000000*(1+Inputs!$B$20)</f>
        <v>4.5617000000000005E-4</v>
      </c>
      <c r="E49" s="10">
        <f>(Inputs!$B$58*Inputs!$B$28+Inputs!$B$59*Inputs!$D$28)*Inputs!$E$28/1000000*(1+Inputs!$B$20)</f>
        <v>8.9518000000000009E-4</v>
      </c>
      <c r="F49" s="11">
        <f>'Agent Loop'!$B$49*'Agent Loop'!$D$49+'Agent Loop'!$C$49*'Agent Loop'!$E$49</f>
        <v>0.49612420000000007</v>
      </c>
      <c r="G49" s="18" t="str">
        <f>TRIM(IF(Inputs!$A$28=Inputs!$B$62,"Email ","")&amp;IF(Inputs!$A$28=Inputs!$B$63,"Ask AI",""))</f>
        <v>Email</v>
      </c>
    </row>
    <row r="50" spans="1:7" ht="29">
      <c r="A50" s="8" t="s">
        <v>177</v>
      </c>
      <c r="B50" s="12">
        <f>INDEX($D$46:$D$49,MATCH(Inputs!$B$62,$A$46:$A$49,0))*'Agent Loop'!$B$46+INDEX($E$46:$E$49,MATCH(Inputs!$B$63,$A$46:$A$49,0))*'Agent Loop'!$C$46</f>
        <v>0.50890180000000007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0"/>
  <sheetViews>
    <sheetView workbookViewId="0"/>
  </sheetViews>
  <sheetFormatPr defaultRowHeight="14.5"/>
  <cols>
    <col min="1" max="1" width="46" customWidth="1"/>
    <col min="2" max="6" width="18" customWidth="1"/>
  </cols>
  <sheetData>
    <row r="1" spans="1:6" ht="18">
      <c r="A1" s="50" t="s">
        <v>23</v>
      </c>
    </row>
    <row r="2" spans="1:6">
      <c r="A2" s="41" t="s">
        <v>178</v>
      </c>
    </row>
    <row r="4" spans="1:6">
      <c r="A4" s="33" t="s">
        <v>179</v>
      </c>
      <c r="B4" s="34"/>
    </row>
    <row r="5" spans="1:6">
      <c r="A5" s="43" t="s">
        <v>41</v>
      </c>
      <c r="B5" s="49">
        <f>Inputs!$B$68</f>
        <v>166</v>
      </c>
    </row>
    <row r="6" spans="1:6">
      <c r="A6" s="43" t="s">
        <v>120</v>
      </c>
      <c r="B6" s="49">
        <f>Inputs!$B$69</f>
        <v>477</v>
      </c>
    </row>
    <row r="7" spans="1:6">
      <c r="A7" s="43" t="s">
        <v>180</v>
      </c>
      <c r="B7" s="49">
        <f>IF(Inputs!$B$74=1,MIN(Inputs!$B$75,Inputs!$B$66),Inputs!$B$66)*Inputs!$B$67</f>
        <v>1960</v>
      </c>
    </row>
    <row r="8" spans="1:6">
      <c r="A8" s="43" t="s">
        <v>181</v>
      </c>
      <c r="B8" s="49">
        <f>Inputs!$B$72*Inputs!$B$73</f>
        <v>442</v>
      </c>
    </row>
    <row r="9" spans="1:6">
      <c r="A9" s="43" t="s">
        <v>182</v>
      </c>
      <c r="B9" s="49">
        <f>Inputs!$B$71</f>
        <v>190</v>
      </c>
    </row>
    <row r="10" spans="1:6">
      <c r="A10" s="43" t="s">
        <v>183</v>
      </c>
      <c r="B10" s="49">
        <f>Inputs!$B$70</f>
        <v>25</v>
      </c>
    </row>
    <row r="11" spans="1:6">
      <c r="A11" s="51" t="s">
        <v>184</v>
      </c>
      <c r="B11" s="52">
        <f>SUM(B5:B10)</f>
        <v>3260</v>
      </c>
    </row>
    <row r="12" spans="1:6">
      <c r="A12" s="43" t="s">
        <v>106</v>
      </c>
      <c r="B12" s="49">
        <f>Inputs!$B$59</f>
        <v>600</v>
      </c>
    </row>
    <row r="13" spans="1:6">
      <c r="A13" s="43" t="s">
        <v>185</v>
      </c>
      <c r="B13" s="53">
        <f>IF(B11=0,0,B7/B11)</f>
        <v>0.60122699386503065</v>
      </c>
    </row>
    <row r="15" spans="1:6">
      <c r="A15" s="33" t="s">
        <v>186</v>
      </c>
      <c r="B15" s="34"/>
      <c r="C15" s="34"/>
      <c r="D15" s="34"/>
      <c r="E15" s="34"/>
      <c r="F15" s="34"/>
    </row>
    <row r="16" spans="1:6" ht="26">
      <c r="A16" s="54" t="s">
        <v>18</v>
      </c>
      <c r="B16" s="54" t="s">
        <v>187</v>
      </c>
      <c r="C16" s="54" t="s">
        <v>161</v>
      </c>
      <c r="D16" s="54" t="s">
        <v>188</v>
      </c>
      <c r="E16" s="54" t="s">
        <v>189</v>
      </c>
      <c r="F16" s="54" t="s">
        <v>190</v>
      </c>
    </row>
    <row r="17" spans="1:6">
      <c r="A17" s="55" t="str">
        <f>Inputs!$A$25</f>
        <v>openai/gpt-oss-120b (Groq)</v>
      </c>
      <c r="B17" s="56">
        <f>$B$11*Inputs!$B$25*Inputs!$E$25/1000000</f>
        <v>4.8899999999999996E-4</v>
      </c>
      <c r="C17" s="56">
        <f>$B$12*Inputs!$D$25*Inputs!$E$25/1000000</f>
        <v>3.6000000000000002E-4</v>
      </c>
      <c r="D17" s="56">
        <f>(B17+C17)*(1+Inputs!$B$20)</f>
        <v>9.3389999999999999E-4</v>
      </c>
      <c r="E17" s="57">
        <f>D17*Inputs!$B$57*Inputs!$B$8</f>
        <v>0.30818699999999999</v>
      </c>
      <c r="F17" s="55" t="str">
        <f>IF(Inputs!$A$25=Inputs!$B$63,"Ask AI model","")</f>
        <v>Ask AI model</v>
      </c>
    </row>
    <row r="18" spans="1:6">
      <c r="A18" s="55" t="str">
        <f>Inputs!$A$26</f>
        <v>openai/gpt-oss-20b (Groq)</v>
      </c>
      <c r="B18" s="56">
        <f>$B$11*Inputs!$B$26*Inputs!$E$26/1000000</f>
        <v>2.4449999999999998E-4</v>
      </c>
      <c r="C18" s="56">
        <f>$B$12*Inputs!$D$26*Inputs!$E$26/1000000</f>
        <v>1.8000000000000001E-4</v>
      </c>
      <c r="D18" s="56">
        <f>(B18+C18)*(1+Inputs!$B$20)</f>
        <v>4.6694999999999999E-4</v>
      </c>
      <c r="E18" s="57">
        <f>D18*Inputs!$B$57*Inputs!$B$8</f>
        <v>0.15409349999999999</v>
      </c>
      <c r="F18" s="55" t="str">
        <f>IF(Inputs!$A$26=Inputs!$B$63,"Ask AI model","")</f>
        <v/>
      </c>
    </row>
    <row r="19" spans="1:6">
      <c r="A19" s="55" t="str">
        <f>Inputs!$A$27</f>
        <v>qwen/qwen3.8-27b (Groq, preview)</v>
      </c>
      <c r="B19" s="56">
        <f>$B$11*Inputs!$B$27*Inputs!$E$27/1000000</f>
        <v>2.6080000000000001E-3</v>
      </c>
      <c r="C19" s="56">
        <f>$B$12*Inputs!$D$27*Inputs!$E$27/1000000</f>
        <v>2.3999999999999998E-3</v>
      </c>
      <c r="D19" s="56">
        <f>(B19+C19)*(1+Inputs!$B$20)</f>
        <v>5.5088000000000012E-3</v>
      </c>
      <c r="E19" s="57">
        <f>D19*Inputs!$B$57*Inputs!$B$8</f>
        <v>1.8179040000000002</v>
      </c>
      <c r="F19" s="55" t="str">
        <f>IF(Inputs!$A$27=Inputs!$B$63,"Ask AI model","")</f>
        <v/>
      </c>
    </row>
    <row r="20" spans="1:6">
      <c r="A20" s="55" t="str">
        <f>Inputs!$A$28</f>
        <v>Claude Haiku 5.5 (Anthropic)</v>
      </c>
      <c r="B20" s="56">
        <f>$B$11*Inputs!$B$28*Inputs!$E$28/1000000</f>
        <v>4.238E-4</v>
      </c>
      <c r="C20" s="56">
        <f>$B$12*Inputs!$D$28*Inputs!$E$28/1000000</f>
        <v>3.8999999999999999E-4</v>
      </c>
      <c r="D20" s="56">
        <f>(B20+C20)*(1+Inputs!$B$20)</f>
        <v>8.9517999999999998E-4</v>
      </c>
      <c r="E20" s="57">
        <f>D20*Inputs!$B$57*Inputs!$B$8</f>
        <v>0.29540939999999999</v>
      </c>
      <c r="F20" s="55" t="str">
        <f>IF(Inputs!$A$28=Inputs!$B$63,"Ask AI model","")</f>
        <v/>
      </c>
    </row>
    <row r="21" spans="1:6">
      <c r="A21" s="43" t="s">
        <v>191</v>
      </c>
      <c r="B21" s="49">
        <f>Inputs!$B$57*Inputs!$B$8</f>
        <v>330</v>
      </c>
    </row>
    <row r="22" spans="1:6">
      <c r="A22" s="51" t="s">
        <v>192</v>
      </c>
      <c r="B22" s="58">
        <f>INDEX($E$17:$E$20,MATCH(Inputs!$B$63,$A$17:$A$20,0))</f>
        <v>0.30818699999999999</v>
      </c>
    </row>
    <row r="24" spans="1:6">
      <c r="A24" s="33" t="s">
        <v>193</v>
      </c>
      <c r="B24" s="34"/>
    </row>
    <row r="25" spans="1:6">
      <c r="A25" s="43" t="s">
        <v>194</v>
      </c>
      <c r="B25" s="59">
        <f>Inputs!$B$74</f>
        <v>0</v>
      </c>
    </row>
    <row r="26" spans="1:6">
      <c r="A26" s="43" t="s">
        <v>195</v>
      </c>
      <c r="B26" s="49">
        <f>Inputs!$B$66*(Inputs!$B$67+Inputs!$B$73)</f>
        <v>19640</v>
      </c>
    </row>
    <row r="27" spans="1:6">
      <c r="A27" s="43" t="s">
        <v>196</v>
      </c>
      <c r="B27" s="56">
        <f>B26*Inputs!$B$79/1000000</f>
        <v>3.9280000000000001E-4</v>
      </c>
    </row>
    <row r="28" spans="1:6" ht="25">
      <c r="A28" s="43" t="s">
        <v>197</v>
      </c>
      <c r="B28" s="49">
        <f>Inputs!$B$9*Inputs!$B$80+$B$21*Inputs!$B$70</f>
        <v>1152250</v>
      </c>
    </row>
    <row r="29" spans="1:6">
      <c r="A29" s="43" t="s">
        <v>198</v>
      </c>
      <c r="B29" s="56">
        <f>B28*Inputs!$B$79/1000000</f>
        <v>2.3045E-2</v>
      </c>
      <c r="C29" s="41" t="s">
        <v>199</v>
      </c>
    </row>
    <row r="30" spans="1:6">
      <c r="A30" s="51" t="s">
        <v>200</v>
      </c>
      <c r="B30" s="60">
        <f>B29*B25</f>
        <v>0</v>
      </c>
    </row>
    <row r="32" spans="1:6">
      <c r="A32" s="33" t="s">
        <v>201</v>
      </c>
      <c r="B32" s="34"/>
      <c r="C32" s="34"/>
      <c r="D32" s="34"/>
      <c r="E32" s="34"/>
    </row>
    <row r="33" spans="1:5" ht="39">
      <c r="A33" s="54" t="s">
        <v>202</v>
      </c>
      <c r="B33" s="54" t="s">
        <v>203</v>
      </c>
      <c r="C33" s="54" t="s">
        <v>204</v>
      </c>
      <c r="D33" s="54" t="s">
        <v>205</v>
      </c>
      <c r="E33" s="54" t="s">
        <v>206</v>
      </c>
    </row>
    <row r="34" spans="1:5">
      <c r="A34" s="45">
        <v>40</v>
      </c>
      <c r="B34" s="49">
        <f>($B$5+$B$6+$B$8+$B$9+$B$10)+A34*Inputs!$B$67</f>
        <v>3260</v>
      </c>
      <c r="C34" s="57">
        <f>(B34*INDEX(Inputs!$B$25:$B$28,MATCH(Inputs!$B$63,Inputs!$A$25:$A$28,0))+$B$12*INDEX(Inputs!$D$25:$D$28,MATCH(Inputs!$B$63,Inputs!$A$25:$A$28,0)))*INDEX(Inputs!$E$25:$E$28,MATCH(Inputs!$B$63,Inputs!$A$25:$A$28,0))/1000000*(1+Inputs!$B$20)*$B$21</f>
        <v>0.30818700000000004</v>
      </c>
      <c r="D34" s="49">
        <f>($B$5+$B$6+$B$8+$B$9+$B$10)+MIN(Inputs!$B$75,A34)*Inputs!$B$67</f>
        <v>2280</v>
      </c>
      <c r="E34" s="57">
        <f>(D34*INDEX(Inputs!$B$25:$B$28,MATCH(Inputs!$B$63,Inputs!$A$25:$A$28,0))+$B$12*INDEX(Inputs!$D$25:$D$28,MATCH(Inputs!$B$63,Inputs!$A$25:$A$28,0)))*INDEX(Inputs!$E$25:$E$28,MATCH(Inputs!$B$63,Inputs!$A$25:$A$28,0))/1000000*(1+Inputs!$B$20)*$B$21+$B$29</f>
        <v>0.27787100000000003</v>
      </c>
    </row>
    <row r="35" spans="1:5">
      <c r="A35" s="45">
        <v>100</v>
      </c>
      <c r="B35" s="49">
        <f>($B$5+$B$6+$B$8+$B$9+$B$10)+A35*Inputs!$B$67</f>
        <v>6200</v>
      </c>
      <c r="C35" s="57">
        <f>(B35*INDEX(Inputs!$B$25:$B$28,MATCH(Inputs!$B$63,Inputs!$A$25:$A$28,0))+$B$12*INDEX(Inputs!$D$25:$D$28,MATCH(Inputs!$B$63,Inputs!$A$25:$A$28,0)))*INDEX(Inputs!$E$25:$E$28,MATCH(Inputs!$B$63,Inputs!$A$25:$A$28,0))/1000000*(1+Inputs!$B$20)*$B$21</f>
        <v>0.46827000000000002</v>
      </c>
      <c r="D35" s="49">
        <f>($B$5+$B$6+$B$8+$B$9+$B$10)+MIN(Inputs!$B$75,A35)*Inputs!$B$67</f>
        <v>2280</v>
      </c>
      <c r="E35" s="57">
        <f>(D35*INDEX(Inputs!$B$25:$B$28,MATCH(Inputs!$B$63,Inputs!$A$25:$A$28,0))+$B$12*INDEX(Inputs!$D$25:$D$28,MATCH(Inputs!$B$63,Inputs!$A$25:$A$28,0)))*INDEX(Inputs!$E$25:$E$28,MATCH(Inputs!$B$63,Inputs!$A$25:$A$28,0))/1000000*(1+Inputs!$B$20)*$B$21+$B$29</f>
        <v>0.27787100000000003</v>
      </c>
    </row>
    <row r="36" spans="1:5">
      <c r="A36" s="45">
        <v>250</v>
      </c>
      <c r="B36" s="49">
        <f>($B$5+$B$6+$B$8+$B$9+$B$10)+A36*Inputs!$B$67</f>
        <v>13550</v>
      </c>
      <c r="C36" s="57">
        <f>(B36*INDEX(Inputs!$B$25:$B$28,MATCH(Inputs!$B$63,Inputs!$A$25:$A$28,0))+$B$12*INDEX(Inputs!$D$25:$D$28,MATCH(Inputs!$B$63,Inputs!$A$25:$A$28,0)))*INDEX(Inputs!$E$25:$E$28,MATCH(Inputs!$B$63,Inputs!$A$25:$A$28,0))/1000000*(1+Inputs!$B$20)*$B$21</f>
        <v>0.86847750000000012</v>
      </c>
      <c r="D36" s="49">
        <f>($B$5+$B$6+$B$8+$B$9+$B$10)+MIN(Inputs!$B$75,A36)*Inputs!$B$67</f>
        <v>2280</v>
      </c>
      <c r="E36" s="57">
        <f>(D36*INDEX(Inputs!$B$25:$B$28,MATCH(Inputs!$B$63,Inputs!$A$25:$A$28,0))+$B$12*INDEX(Inputs!$D$25:$D$28,MATCH(Inputs!$B$63,Inputs!$A$25:$A$28,0)))*INDEX(Inputs!$E$25:$E$28,MATCH(Inputs!$B$63,Inputs!$A$25:$A$28,0))/1000000*(1+Inputs!$B$20)*$B$21+$B$29</f>
        <v>0.27787100000000003</v>
      </c>
    </row>
    <row r="37" spans="1:5">
      <c r="A37" s="45">
        <v>500</v>
      </c>
      <c r="B37" s="49">
        <f>($B$5+$B$6+$B$8+$B$9+$B$10)+A37*Inputs!$B$67</f>
        <v>25800</v>
      </c>
      <c r="C37" s="57">
        <f>(B37*INDEX(Inputs!$B$25:$B$28,MATCH(Inputs!$B$63,Inputs!$A$25:$A$28,0))+$B$12*INDEX(Inputs!$D$25:$D$28,MATCH(Inputs!$B$63,Inputs!$A$25:$A$28,0)))*INDEX(Inputs!$E$25:$E$28,MATCH(Inputs!$B$63,Inputs!$A$25:$A$28,0))/1000000*(1+Inputs!$B$20)*$B$21</f>
        <v>1.5354900000000002</v>
      </c>
      <c r="D37" s="49">
        <f>($B$5+$B$6+$B$8+$B$9+$B$10)+MIN(Inputs!$B$75,A37)*Inputs!$B$67</f>
        <v>2280</v>
      </c>
      <c r="E37" s="57">
        <f>(D37*INDEX(Inputs!$B$25:$B$28,MATCH(Inputs!$B$63,Inputs!$A$25:$A$28,0))+$B$12*INDEX(Inputs!$D$25:$D$28,MATCH(Inputs!$B$63,Inputs!$A$25:$A$28,0)))*INDEX(Inputs!$E$25:$E$28,MATCH(Inputs!$B$63,Inputs!$A$25:$A$28,0))/1000000*(1+Inputs!$B$20)*$B$21+$B$29</f>
        <v>0.27787100000000003</v>
      </c>
    </row>
    <row r="38" spans="1:5">
      <c r="A38" s="45">
        <v>1000</v>
      </c>
      <c r="B38" s="49">
        <f>($B$5+$B$6+$B$8+$B$9+$B$10)+A38*Inputs!$B$67</f>
        <v>50300</v>
      </c>
      <c r="C38" s="57">
        <f>(B38*INDEX(Inputs!$B$25:$B$28,MATCH(Inputs!$B$63,Inputs!$A$25:$A$28,0))+$B$12*INDEX(Inputs!$D$25:$D$28,MATCH(Inputs!$B$63,Inputs!$A$25:$A$28,0)))*INDEX(Inputs!$E$25:$E$28,MATCH(Inputs!$B$63,Inputs!$A$25:$A$28,0))/1000000*(1+Inputs!$B$20)*$B$21</f>
        <v>2.8695150000000007</v>
      </c>
      <c r="D38" s="49">
        <f>($B$5+$B$6+$B$8+$B$9+$B$10)+MIN(Inputs!$B$75,A38)*Inputs!$B$67</f>
        <v>2280</v>
      </c>
      <c r="E38" s="57">
        <f>(D38*INDEX(Inputs!$B$25:$B$28,MATCH(Inputs!$B$63,Inputs!$A$25:$A$28,0))+$B$12*INDEX(Inputs!$D$25:$D$28,MATCH(Inputs!$B$63,Inputs!$A$25:$A$28,0)))*INDEX(Inputs!$E$25:$E$28,MATCH(Inputs!$B$63,Inputs!$A$25:$A$28,0))/1000000*(1+Inputs!$B$20)*$B$21+$B$29</f>
        <v>0.27787100000000003</v>
      </c>
    </row>
    <row r="39" spans="1:5">
      <c r="A39" s="45">
        <v>2000</v>
      </c>
      <c r="B39" s="49">
        <f>($B$5+$B$6+$B$8+$B$9+$B$10)+A39*Inputs!$B$67</f>
        <v>99300</v>
      </c>
      <c r="C39" s="57">
        <f>(B39*INDEX(Inputs!$B$25:$B$28,MATCH(Inputs!$B$63,Inputs!$A$25:$A$28,0))+$B$12*INDEX(Inputs!$D$25:$D$28,MATCH(Inputs!$B$63,Inputs!$A$25:$A$28,0)))*INDEX(Inputs!$E$25:$E$28,MATCH(Inputs!$B$63,Inputs!$A$25:$A$28,0))/1000000*(1+Inputs!$B$20)*$B$21</f>
        <v>5.5375649999999998</v>
      </c>
      <c r="D39" s="49">
        <f>($B$5+$B$6+$B$8+$B$9+$B$10)+MIN(Inputs!$B$75,A39)*Inputs!$B$67</f>
        <v>2280</v>
      </c>
      <c r="E39" s="57">
        <f>(D39*INDEX(Inputs!$B$25:$B$28,MATCH(Inputs!$B$63,Inputs!$A$25:$A$28,0))+$B$12*INDEX(Inputs!$D$25:$D$28,MATCH(Inputs!$B$63,Inputs!$A$25:$A$28,0)))*INDEX(Inputs!$E$25:$E$28,MATCH(Inputs!$B$63,Inputs!$A$25:$A$28,0))/1000000*(1+Inputs!$B$20)*$B$21+$B$29</f>
        <v>0.27787100000000003</v>
      </c>
    </row>
    <row r="40" spans="1:5">
      <c r="A40" s="41" t="s">
        <v>207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showGridLines="0" workbookViewId="0"/>
  </sheetViews>
  <sheetFormatPr defaultRowHeight="14.5"/>
  <cols>
    <col min="1" max="1" width="50" customWidth="1"/>
    <col min="2" max="2" width="20" customWidth="1"/>
    <col min="3" max="3" width="60" customWidth="1"/>
  </cols>
  <sheetData>
    <row r="1" spans="1:3" ht="26" customHeight="1">
      <c r="A1" s="1" t="s">
        <v>208</v>
      </c>
    </row>
    <row r="2" spans="1:3">
      <c r="A2" s="2" t="s">
        <v>209</v>
      </c>
    </row>
    <row r="4" spans="1:3">
      <c r="A4" s="3" t="s">
        <v>210</v>
      </c>
      <c r="B4" s="4"/>
      <c r="C4" s="4"/>
    </row>
    <row r="5" spans="1:3">
      <c r="A5" s="5" t="s">
        <v>4</v>
      </c>
      <c r="B5" s="7">
        <f>Inputs!$B$9</f>
        <v>2200</v>
      </c>
    </row>
    <row r="6" spans="1:3">
      <c r="A6" s="5" t="s">
        <v>211</v>
      </c>
      <c r="B6" s="7">
        <f>Inputs!$B$48*Inputs!$B$8</f>
        <v>2112</v>
      </c>
    </row>
    <row r="7" spans="1:3">
      <c r="A7" s="5" t="s">
        <v>212</v>
      </c>
      <c r="B7" s="15">
        <f>Inputs!$B$9/'Cost Saving'!$B$6</f>
        <v>1.0416666666666667</v>
      </c>
      <c r="C7" s="24" t="s">
        <v>213</v>
      </c>
    </row>
    <row r="8" spans="1:3">
      <c r="A8" s="5" t="s">
        <v>214</v>
      </c>
      <c r="B8" s="11">
        <f>Inputs!$B$49+Inputs!$B$50</f>
        <v>4000</v>
      </c>
    </row>
    <row r="9" spans="1:3">
      <c r="A9" s="8" t="s">
        <v>215</v>
      </c>
      <c r="B9" s="12">
        <f>'Cost Saving'!$B$7*'Cost Saving'!$B$8</f>
        <v>4166.666666666667</v>
      </c>
    </row>
    <row r="11" spans="1:3">
      <c r="A11" s="3" t="s">
        <v>216</v>
      </c>
      <c r="B11" s="4"/>
      <c r="C11" s="4"/>
    </row>
    <row r="12" spans="1:3">
      <c r="A12" s="5" t="s">
        <v>217</v>
      </c>
      <c r="B12" s="11">
        <f>'Agent Loop'!$B$42</f>
        <v>4.3278312000000003</v>
      </c>
    </row>
    <row r="13" spans="1:3">
      <c r="A13" s="5" t="s">
        <v>218</v>
      </c>
      <c r="B13" s="11">
        <f>'Ask AI (RAG)'!$B$30</f>
        <v>0</v>
      </c>
      <c r="C13" s="24" t="s">
        <v>219</v>
      </c>
    </row>
    <row r="14" spans="1:3" hidden="1">
      <c r="A14" t="s">
        <v>220</v>
      </c>
      <c r="B14" s="11">
        <f>'Ask AI (RAG)'!$B$27*Inputs!$B$74</f>
        <v>0</v>
      </c>
    </row>
    <row r="15" spans="1:3">
      <c r="A15" s="5" t="s">
        <v>221</v>
      </c>
      <c r="B15" s="11">
        <f>Inputs!$B$42</f>
        <v>0</v>
      </c>
    </row>
    <row r="16" spans="1:3">
      <c r="A16" s="5" t="s">
        <v>222</v>
      </c>
      <c r="B16" s="11">
        <f>'Cost Saving'!$B$9*(1-Inputs!$B$51)</f>
        <v>1250.0000000000002</v>
      </c>
      <c r="C16" s="24" t="s">
        <v>223</v>
      </c>
    </row>
    <row r="17" spans="1:3">
      <c r="A17" s="8" t="s">
        <v>224</v>
      </c>
      <c r="B17" s="12">
        <f>'Agent Loop'!$B$42+'Cost Saving'!$B$13+'Cost Saving'!$B$15+'Cost Saving'!$B$16</f>
        <v>1254.3278312000002</v>
      </c>
    </row>
    <row r="19" spans="1:3">
      <c r="A19" s="3" t="s">
        <v>225</v>
      </c>
      <c r="B19" s="4"/>
      <c r="C19" s="4"/>
    </row>
    <row r="20" spans="1:3">
      <c r="A20" s="8" t="s">
        <v>11</v>
      </c>
      <c r="B20" s="12">
        <f>'Cost Saving'!$B$9-'Cost Saving'!$B$17</f>
        <v>2912.3388354666668</v>
      </c>
    </row>
    <row r="21" spans="1:3">
      <c r="A21" s="8" t="s">
        <v>12</v>
      </c>
      <c r="B21" s="13">
        <f>IF('Cost Saving'!$B$9=0,0,'Cost Saving'!$B$20/'Cost Saving'!$B$9)</f>
        <v>0.698961320512</v>
      </c>
    </row>
    <row r="22" spans="1:3">
      <c r="A22" s="5" t="s">
        <v>226</v>
      </c>
      <c r="B22" s="11">
        <f>'Cost Saving'!$B$20*12</f>
        <v>34948.066025599997</v>
      </c>
    </row>
    <row r="23" spans="1:3">
      <c r="A23" s="5" t="s">
        <v>14</v>
      </c>
      <c r="B23" s="11">
        <f>'Cost Saving'!$B$14+Inputs!$B$45</f>
        <v>0</v>
      </c>
    </row>
    <row r="24" spans="1:3">
      <c r="A24" s="5" t="s">
        <v>15</v>
      </c>
      <c r="B24" s="15">
        <f>IF('Cost Saving'!$B$20&lt;=0,"No payback",'Cost Saving'!$B$23/'Cost Saving'!$B$20)</f>
        <v>0</v>
      </c>
    </row>
    <row r="25" spans="1:3">
      <c r="A25" s="5" t="s">
        <v>227</v>
      </c>
      <c r="B25" s="10">
        <f>('Cost Saving'!$B$9-'Cost Saving'!$B$13-'Cost Saving'!$B$15-'Cost Saving'!$B$16)/Inputs!$B$9</f>
        <v>1.3257575757575759</v>
      </c>
      <c r="C25" s="24" t="s">
        <v>228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5"/>
  <sheetViews>
    <sheetView showGridLines="0" workbookViewId="0"/>
  </sheetViews>
  <sheetFormatPr defaultRowHeight="14.5"/>
  <cols>
    <col min="1" max="1" width="110" customWidth="1"/>
  </cols>
  <sheetData>
    <row r="1" spans="1:1" ht="26" customHeight="1">
      <c r="A1" s="1" t="s">
        <v>229</v>
      </c>
    </row>
    <row r="4" spans="1:1" ht="29" customHeight="1">
      <c r="A4" s="32" t="s">
        <v>230</v>
      </c>
    </row>
    <row r="5" spans="1:1" ht="43.5" customHeight="1">
      <c r="A5" s="32" t="s">
        <v>231</v>
      </c>
    </row>
    <row r="6" spans="1:1" ht="29" customHeight="1">
      <c r="A6" s="32" t="s">
        <v>232</v>
      </c>
    </row>
    <row r="7" spans="1:1" ht="43.5" customHeight="1">
      <c r="A7" s="32" t="s">
        <v>233</v>
      </c>
    </row>
    <row r="8" spans="1:1" ht="43.5" customHeight="1">
      <c r="A8" s="32" t="s">
        <v>234</v>
      </c>
    </row>
    <row r="9" spans="1:1" ht="29" customHeight="1">
      <c r="A9" s="32" t="s">
        <v>235</v>
      </c>
    </row>
    <row r="10" spans="1:1" ht="58" customHeight="1">
      <c r="A10" s="32" t="s">
        <v>236</v>
      </c>
    </row>
    <row r="11" spans="1:1">
      <c r="A11" s="32" t="s">
        <v>237</v>
      </c>
    </row>
    <row r="12" spans="1:1" ht="29" customHeight="1">
      <c r="A12" s="32" t="s">
        <v>238</v>
      </c>
    </row>
    <row r="13" spans="1:1" ht="29" customHeight="1">
      <c r="A13" s="32" t="s">
        <v>239</v>
      </c>
    </row>
    <row r="14" spans="1:1" ht="29" customHeight="1">
      <c r="A14" s="32" t="s">
        <v>240</v>
      </c>
    </row>
    <row r="15" spans="1:1" ht="29" customHeight="1">
      <c r="A15" s="32" t="s">
        <v>241</v>
      </c>
    </row>
    <row r="16" spans="1:1" ht="29" customHeight="1">
      <c r="A16" s="32" t="s">
        <v>242</v>
      </c>
    </row>
    <row r="17" spans="1:1" ht="29" customHeight="1">
      <c r="A17" s="32" t="s">
        <v>243</v>
      </c>
    </row>
    <row r="18" spans="1:1">
      <c r="A18" s="32" t="s">
        <v>244</v>
      </c>
    </row>
    <row r="19" spans="1:1" ht="29" customHeight="1">
      <c r="A19" s="32" t="s">
        <v>245</v>
      </c>
    </row>
    <row r="20" spans="1:1">
      <c r="A20" s="32" t="s">
        <v>246</v>
      </c>
    </row>
    <row r="21" spans="1:1" ht="43.5" customHeight="1">
      <c r="A21" s="32" t="s">
        <v>247</v>
      </c>
    </row>
    <row r="22" spans="1:1" ht="43.5">
      <c r="A22" s="32" t="s">
        <v>248</v>
      </c>
    </row>
    <row r="23" spans="1:1" ht="43.5">
      <c r="A23" s="32" t="s">
        <v>249</v>
      </c>
    </row>
    <row r="24" spans="1:1" ht="29">
      <c r="A24" s="32" t="s">
        <v>250</v>
      </c>
    </row>
    <row r="25" spans="1:1" ht="29">
      <c r="A25" s="32" t="s">
        <v>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Inputs</vt:lpstr>
      <vt:lpstr>Agent Loop</vt:lpstr>
      <vt:lpstr>Ask AI (RAG)</vt:lpstr>
      <vt:lpstr>Cost Saving</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Pankaj Mehta</cp:lastModifiedBy>
  <dcterms:created xsi:type="dcterms:W3CDTF">2026-10-07T06:34:12Z</dcterms:created>
  <dcterms:modified xsi:type="dcterms:W3CDTF">2026-10-11T10:11:20Z</dcterms:modified>
</cp:coreProperties>
</file>