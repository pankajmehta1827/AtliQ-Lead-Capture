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M\AppData\Local\Temp\claude\C--Users-PM-Project-Ai-AtliQ-Lead-Capture--claude-worktrees-ai-product-prd-be57d2\d6d0f3fd-127b-4312-b3e9-ed8df6158091\scratchpad\"/>
    </mc:Choice>
  </mc:AlternateContent>
  <xr:revisionPtr revIDLastSave="0" documentId="13_ncr:1_{7E01A5B4-BE4F-4E6B-ABF0-2CF509493D0D}" xr6:coauthVersionLast="47" xr6:coauthVersionMax="47" xr10:uidLastSave="{00000000-0000-0000-0000-000000000000}"/>
  <bookViews>
    <workbookView xWindow="1900" yWindow="1900" windowWidth="14400" windowHeight="8170" xr2:uid="{00000000-000D-0000-FFFF-FFFF00000000}"/>
  </bookViews>
  <sheets>
    <sheet name="Overview" sheetId="1" r:id="rId1"/>
    <sheet name="Guidelines" sheetId="2" r:id="rId2"/>
    <sheet name="Failure scenari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" l="1"/>
  <c r="B14" i="1"/>
  <c r="C13" i="1"/>
  <c r="B13" i="1"/>
  <c r="C12" i="1"/>
  <c r="B12" i="1"/>
  <c r="B15" i="1" s="1"/>
  <c r="C15" i="1" l="1"/>
</calcChain>
</file>

<file path=xl/sharedStrings.xml><?xml version="1.0" encoding="utf-8"?>
<sst xmlns="http://schemas.openxmlformats.org/spreadsheetml/2006/main" count="297" uniqueCount="169">
  <si>
    <t>HAX Assessment: AtliQ Lead Capture &amp; Follow-up Assistant</t>
  </si>
  <si>
    <t>Microsoft HAX Toolkit applied to the working prototype · 10 Oct 2026 · Pankaj Mehta, AI Product Manager</t>
  </si>
  <si>
    <t>How to use this workbook</t>
  </si>
  <si>
    <t>1. Guidelines tab: one row per HAX guideline. Update Status, Impact, Effort, Owner and Target as the team decides (yellow cells).</t>
  </si>
  <si>
    <t>2. Failure scenarios tab: cases the assistant must handle, in the style of the HAX Playbook. Add each one to the eval set.</t>
  </si>
  <si>
    <t>3. Review this workbook at each rollout gate (shadow alpha, closed beta, phased rollout).</t>
  </si>
  <si>
    <t>Source: Microsoft HAX Toolkit, Guidelines for Human-AI Interaction (Amershi et al., CHI 2019), https://www.microsoft.com/en-us/haxtoolkit/</t>
  </si>
  <si>
    <t>Guidelines status</t>
  </si>
  <si>
    <t>Status</t>
  </si>
  <si>
    <t>Guidelines</t>
  </si>
  <si>
    <t>Failure scenarios</t>
  </si>
  <si>
    <t>Done</t>
  </si>
  <si>
    <t>Partial</t>
  </si>
  <si>
    <t>Gap</t>
  </si>
  <si>
    <t>Total</t>
  </si>
  <si>
    <t>Added to the prototype for HAX (commit 8db0a0e)</t>
  </si>
  <si>
    <t>G1/G2: Dashboard introduction card on what the assistant does, never does, and how far to trust it.</t>
  </si>
  <si>
    <t>G15: 'Was this useful?' on every email draft and Ask AI answer, logged in the action log.</t>
  </si>
  <si>
    <t>G16: 'Review and confirm' previews every CRM change before saving (rolled-back dry run).</t>
  </si>
  <si>
    <t>Top gaps to close next</t>
  </si>
  <si>
    <t>G13 Learn from behaviour: monthly review of edits, discard reasons and feedback to tune prompts (Feb 2027).</t>
  </si>
  <si>
    <t>G18 Notify about changes: 'What's new' note on the Dashboard with each release (beta).</t>
  </si>
  <si>
    <t>G2 Show measured accuracy once shadow-mode evals are complete (Jan 2027).</t>
  </si>
  <si>
    <t>HAX Guidelines for Human-AI Interaction: AtliQ Lead Capture prototype</t>
  </si>
  <si>
    <t>Assessed 10 Oct 2026 against the running prototype. Yellow cells are team inputs; Status drives the Overview counts.</t>
  </si>
  <si>
    <t>#</t>
  </si>
  <si>
    <t>Stage</t>
  </si>
  <si>
    <t>Guideline</t>
  </si>
  <si>
    <t>Applies?</t>
  </si>
  <si>
    <t>How the prototype meets it (evidence)</t>
  </si>
  <si>
    <t>Gap / next action</t>
  </si>
  <si>
    <t>Impact</t>
  </si>
  <si>
    <t>Effort</t>
  </si>
  <si>
    <t>Owner</t>
  </si>
  <si>
    <t>Target</t>
  </si>
  <si>
    <t>Initially</t>
  </si>
  <si>
    <t>Make clear what the system can do</t>
  </si>
  <si>
    <t>Yes</t>
  </si>
  <si>
    <t>Dashboard introduction card: what it does, what it never does (save without Confirm, contact clients, read excluded items). Can be shown again from Settings.</t>
  </si>
  <si>
    <t>Repeat the key points in the beta onboarding session.</t>
  </si>
  <si>
    <t>High</t>
  </si>
  <si>
    <t>Low</t>
  </si>
  <si>
    <t>PM</t>
  </si>
  <si>
    <t>Jan 2027</t>
  </si>
  <si>
    <t>Make clear how well the system can do what it can do</t>
  </si>
  <si>
    <t>Introduction says drafts can be wrong; confidence shown per field; unsure drafts marked 'Needs review'.</t>
  </si>
  <si>
    <t>Show measured accuracy (e.g. 'fields correct 9 times in 10') once shadow-mode evals are run.</t>
  </si>
  <si>
    <t>PM, DS</t>
  </si>
  <si>
    <t>During interaction</t>
  </si>
  <si>
    <t>Time services based on context</t>
  </si>
  <si>
    <t>Reminders fall due on the real deadline (proposal +7 days, inactive +14 days, revisit dates); live timers; daily summary.</t>
  </si>
  <si>
    <t>Add reminders outside the app (email digest) in beta.</t>
  </si>
  <si>
    <t>Medium</t>
  </si>
  <si>
    <t>Eng</t>
  </si>
  <si>
    <t>Show contextually relevant information</t>
  </si>
  <si>
    <t>Clicking a field highlights the source sentence; follow-up cards show the last message and suggested next step.</t>
  </si>
  <si>
    <t>Match relevant social norms</t>
  </si>
  <si>
    <t>Email drafts are short, warm and professional, written as the owner; acknowledge delays; no invented promises.</t>
  </si>
  <si>
    <t>Collect tone feedback through 'Was this useful?'.</t>
  </si>
  <si>
    <t>Beta</t>
  </si>
  <si>
    <t>Mitigate social biases</t>
  </si>
  <si>
    <t>Sensitive personal data excluded from context; cross-sell uses only the same client's history; masking of bank data.</t>
  </si>
  <si>
    <t>Monthly sample audit of confirmed records (PRD guardrail).</t>
  </si>
  <si>
    <t>PM, Salesperson</t>
  </si>
  <si>
    <t>Monthly</t>
  </si>
  <si>
    <t>When wrong</t>
  </si>
  <si>
    <t>Support efficient invocation</t>
  </si>
  <si>
    <t>One-click Draft reply on Follow-ups, Dashboard and Pipeline; Ask AI in the top bar; Re-run with AI.</t>
  </si>
  <si>
    <t>Support efficient dismissal</t>
  </si>
  <si>
    <t>Discard (with optional reason), Dismiss and Snooze on reminders, close the email drawer with Esc.</t>
  </si>
  <si>
    <t>Support efficient correction</t>
  </si>
  <si>
    <t>Every field is editable before Confirm; choose a different CRM record or create a new lead.</t>
  </si>
  <si>
    <t>Scope services when in doubt</t>
  </si>
  <si>
    <t>Missing values left empty, never guessed; unquoted values dropped; rules-only mode when the AI is unavailable.</t>
  </si>
  <si>
    <t>Make clear why the system did what it did</t>
  </si>
  <si>
    <t>Every value quotes its source; match reasons and scores shown; email facts listed with quotes; answers cite deals.</t>
  </si>
  <si>
    <t>Over time</t>
  </si>
  <si>
    <t>Remember recent interactions</t>
  </si>
  <si>
    <t>Ask AI keeps the last 6 turns of the conversation; deal history is used for drafts and answers.</t>
  </si>
  <si>
    <t>Learn from user behavior</t>
  </si>
  <si>
    <t>Edits, discards (with reason) and feedback are all logged, but not yet used to improve the assistant.</t>
  </si>
  <si>
    <t>Monthly review of edits, discard reasons and 'No' feedback; tune prompts and matching rules; track trust metric.</t>
  </si>
  <si>
    <t>Feb 2027</t>
  </si>
  <si>
    <t>Update and adapt cautiously</t>
  </si>
  <si>
    <t>Nothing changes in the CRM without the owner's Confirm; prompt changes go through tests (26 automated tests).</t>
  </si>
  <si>
    <t>Version prompts and compare on the eval set before each change.</t>
  </si>
  <si>
    <t>Encourage granular feedback</t>
  </si>
  <si>
    <t>'Was this useful?' on every email draft and Ask AI answer, with an optional reason; logged as ai_feedback.</t>
  </si>
  <si>
    <t>Add feedback to individual draft fields if edits alone are not enough signal.</t>
  </si>
  <si>
    <t>Convey the consequences of user actions</t>
  </si>
  <si>
    <t>'Review and confirm' shows every CRM field before and after, new reminders and notes before saving (dry run).</t>
  </si>
  <si>
    <t>Provide global controls</t>
  </si>
  <si>
    <t>Pause-processing switch (kill switch); exclusion rules by email, domain, subject or keyword.</t>
  </si>
  <si>
    <t>Notify users about changes</t>
  </si>
  <si>
    <t>No notice when the assistant's behaviour or prompts change.</t>
  </si>
  <si>
    <t>Add a 'What's new' note on the Dashboard with each release; log prompt versions.</t>
  </si>
  <si>
    <t>PM, Eng</t>
  </si>
  <si>
    <t>Failure scenarios (HAX Playbook style)</t>
  </si>
  <si>
    <t>How the assistant should behave when the input or the AI goes wrong. Add each scenario to the eval set before beta.</t>
  </si>
  <si>
    <t>Area</t>
  </si>
  <si>
    <t>Scenario</t>
  </si>
  <si>
    <t>Example</t>
  </si>
  <si>
    <t>Expected behaviour</t>
  </si>
  <si>
    <t>Prototype today</t>
  </si>
  <si>
    <t>Test</t>
  </si>
  <si>
    <t>Input</t>
  </si>
  <si>
    <t>One email covers two separate deals with the same client</t>
  </si>
  <si>
    <t>Acme asks about the report automation and a new data platform</t>
  </si>
  <si>
    <t>Two drafts, or one draft that names both needs</t>
  </si>
  <si>
    <t>One update draft for the matched deal; the second need may be missed</t>
  </si>
  <si>
    <t>To add to eval set</t>
  </si>
  <si>
    <t>Forwarded thread where the client is only in the quoted part</t>
  </si>
  <si>
    <t>Dhaval forwards a client thread to Jay</t>
  </si>
  <si>
    <t>Treat the quoted client as the contact, not the AtliQ sender</t>
  </si>
  <si>
    <t>Internal forwards about one client conversation are classified as sales</t>
  </si>
  <si>
    <t>Classification</t>
  </si>
  <si>
    <t>Personal message that uses sales words</t>
  </si>
  <si>
    <t>A personal email about a 'proposal' or 'deal'</t>
  </si>
  <si>
    <t>Skipped as not sales; nothing stored</t>
  </si>
  <si>
    <t>Classifier plus exclusion rules; skipped items have their content wiped</t>
  </si>
  <si>
    <t>Matching</t>
  </si>
  <si>
    <t>Company nickname or misspelling</t>
  </si>
  <si>
    <t>'Acme Retail' vs 'ACME Retail Group Pvt Ltd'</t>
  </si>
  <si>
    <t>Match the existing deal and show why</t>
  </si>
  <si>
    <t>Fuzzy company and email matching with reasons and a score</t>
  </si>
  <si>
    <t>Referral: an existing client introduces a new company</t>
  </si>
  <si>
    <t>A client refers CityWide as a new lead</t>
  </si>
  <si>
    <t>New lead for the referred company, not an update to the referrer</t>
  </si>
  <si>
    <t>Referral guard keeps the referrer's deal untouched</t>
  </si>
  <si>
    <t>Extraction</t>
  </si>
  <si>
    <t>Relative date in an undated note</t>
  </si>
  <si>
    <t>'Let's talk next Thursday' in a pasted note</t>
  </si>
  <si>
    <t>Resolve from the note's date, or leave the date empty</t>
  </si>
  <si>
    <t>Dates resolved from the conversation date; none earlier than it</t>
  </si>
  <si>
    <t>Revisit date far in the future</t>
  </si>
  <si>
    <t>'Nothing gets signed until the acquisition closes, likely Q2 2026'</t>
  </si>
  <si>
    <t>Revisit reminder for the start of Q2 2026</t>
  </si>
  <si>
    <t>Date detector creates a revisit reminder (Quantia, 1 Apr 2026)</t>
  </si>
  <si>
    <t>Privacy</t>
  </si>
  <si>
    <t>Bank details or a password in an email</t>
  </si>
  <si>
    <t>'Our account number is …'</t>
  </si>
  <si>
    <t>Masked before the AI sees it; never stored</t>
  </si>
  <si>
    <t>Masking before processing; masked values never reproduced</t>
  </si>
  <si>
    <t>Non-English conversation</t>
  </si>
  <si>
    <t>A client email in Hindi or German</t>
  </si>
  <si>
    <t>Mark for review; do not guess fields</t>
  </si>
  <si>
    <t>V1 is English only; not tested</t>
  </si>
  <si>
    <t>Very long thread</t>
  </si>
  <si>
    <t>A 30-message email chain</t>
  </si>
  <si>
    <t>Use the newest messages; flag that older ones were cut</t>
  </si>
  <si>
    <t>Input capped at 6,000 characters; older text may be cut without notice</t>
  </si>
  <si>
    <t>Generation</t>
  </si>
  <si>
    <t>Email draft states a price or date not in the records</t>
  </si>
  <si>
    <t>'As agreed, $40k by 15 August'</t>
  </si>
  <si>
    <t>Flag the fact as unverified so the owner removes it</t>
  </si>
  <si>
    <t>Each fact must quote the records; unquoted facts flagged in red</t>
  </si>
  <si>
    <t>Answer relies on a stale CRM note</t>
  </si>
  <si>
    <t>CRM says 'proposal sent'; a newer email says the client declined</t>
  </si>
  <si>
    <t>Trust the newest conversation and say the CRM is out of date</t>
  </si>
  <si>
    <t>Prompt rule: newest dated conversation wins</t>
  </si>
  <si>
    <t>Question about data the CRM does not hold</t>
  </si>
  <si>
    <t>'What is FinEdge's annual IT budget?'</t>
  </si>
  <si>
    <t>Say it is not in the records; never guess</t>
  </si>
  <si>
    <t>Answers only from the context; says so when missing</t>
  </si>
  <si>
    <t>System</t>
  </si>
  <si>
    <t>AI usage limit reached or provider down</t>
  </si>
  <si>
    <t>Daily token limit hit during a batch</t>
  </si>
  <si>
    <t>Queue and retry automatically; plain-language message</t>
  </si>
  <si>
    <t>Back-off until the limit resets; rules mode if no AI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</si>
</sst>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2"/>
      <color rgb="FF2E75B6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3" fillId="2" borderId="1" xfId="0" applyFont="1" applyFill="1" applyBorder="1" applyAlignment="1">
      <alignment vertical="center" wrapText="1"/>
    </xf>
    <xf numFmtId="0" fontId="7" fillId="0" borderId="1" xfId="0" applyFont="1" applyBorder="1"/>
    <xf numFmtId="0" fontId="8" fillId="0" borderId="1" xfId="0" applyFont="1" applyBorder="1"/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9">
    <dxf>
      <font>
        <color rgb="FF9C0006"/>
      </font>
      <fill>
        <patternFill patternType="solid">
          <fgColor rgb="FFFCE4D6"/>
        </patternFill>
      </fill>
    </dxf>
    <dxf>
      <font>
        <color rgb="FF7F6000"/>
      </font>
      <fill>
        <patternFill patternType="solid">
          <fgColor rgb="FFFFF2CC"/>
        </patternFill>
      </fill>
    </dxf>
    <dxf>
      <font>
        <color rgb="FF375623"/>
      </font>
      <fill>
        <patternFill patternType="solid">
          <fgColor rgb="FFE2EFDA"/>
        </patternFill>
      </fill>
    </dxf>
    <dxf>
      <font>
        <color rgb="FF9C0006"/>
      </font>
      <fill>
        <patternFill patternType="solid">
          <fgColor rgb="FFFCE4D6"/>
        </patternFill>
      </fill>
    </dxf>
    <dxf>
      <font>
        <color rgb="FF7F6000"/>
      </font>
      <fill>
        <patternFill patternType="solid">
          <fgColor rgb="FFFFF2CC"/>
        </patternFill>
      </fill>
    </dxf>
    <dxf>
      <font>
        <color rgb="FF375623"/>
      </font>
      <fill>
        <patternFill patternType="solid">
          <fgColor rgb="FFE2EFDA"/>
        </patternFill>
      </fill>
    </dxf>
    <dxf>
      <font>
        <color rgb="FF9C0006"/>
      </font>
      <fill>
        <patternFill patternType="solid">
          <fgColor rgb="FFFCE4D6"/>
        </patternFill>
      </fill>
    </dxf>
    <dxf>
      <font>
        <color rgb="FF7F6000"/>
      </font>
      <fill>
        <patternFill patternType="solid">
          <fgColor rgb="FFFFF2CC"/>
        </patternFill>
      </fill>
    </dxf>
    <dxf>
      <font>
        <color rgb="FF375623"/>
      </font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"/>
  <sheetViews>
    <sheetView showGridLines="0" tabSelected="1" workbookViewId="0"/>
  </sheetViews>
  <sheetFormatPr defaultRowHeight="14.5" x14ac:dyDescent="0.35"/>
  <cols>
    <col min="1" max="1" width="22" customWidth="1"/>
    <col min="2" max="2" width="14" customWidth="1"/>
    <col min="3" max="3" width="18" customWidth="1"/>
    <col min="4" max="8" width="14" customWidth="1"/>
  </cols>
  <sheetData>
    <row r="1" spans="1:8" ht="20" x14ac:dyDescent="0.4">
      <c r="A1" s="1" t="s">
        <v>0</v>
      </c>
    </row>
    <row r="2" spans="1:8" x14ac:dyDescent="0.35">
      <c r="A2" s="2" t="s">
        <v>1</v>
      </c>
    </row>
    <row r="4" spans="1:8" ht="15.5" x14ac:dyDescent="0.35">
      <c r="A4" s="3" t="s">
        <v>2</v>
      </c>
    </row>
    <row r="5" spans="1:8" ht="16" customHeight="1" x14ac:dyDescent="0.35">
      <c r="A5" s="9" t="s">
        <v>3</v>
      </c>
      <c r="B5" s="10"/>
      <c r="C5" s="10"/>
      <c r="D5" s="10"/>
      <c r="E5" s="10"/>
      <c r="F5" s="10"/>
      <c r="G5" s="10"/>
      <c r="H5" s="10"/>
    </row>
    <row r="6" spans="1:8" ht="16" customHeight="1" x14ac:dyDescent="0.35">
      <c r="A6" s="9" t="s">
        <v>4</v>
      </c>
      <c r="B6" s="10"/>
      <c r="C6" s="10"/>
      <c r="D6" s="10"/>
      <c r="E6" s="10"/>
      <c r="F6" s="10"/>
      <c r="G6" s="10"/>
      <c r="H6" s="10"/>
    </row>
    <row r="7" spans="1:8" ht="16" customHeight="1" x14ac:dyDescent="0.35">
      <c r="A7" s="9" t="s">
        <v>5</v>
      </c>
      <c r="B7" s="10"/>
      <c r="C7" s="10"/>
      <c r="D7" s="10"/>
      <c r="E7" s="10"/>
      <c r="F7" s="10"/>
      <c r="G7" s="10"/>
      <c r="H7" s="10"/>
    </row>
    <row r="8" spans="1:8" ht="16" customHeight="1" x14ac:dyDescent="0.35">
      <c r="A8" s="9" t="s">
        <v>6</v>
      </c>
      <c r="B8" s="10"/>
      <c r="C8" s="10"/>
      <c r="D8" s="10"/>
      <c r="E8" s="10"/>
      <c r="F8" s="10"/>
      <c r="G8" s="10"/>
      <c r="H8" s="10"/>
    </row>
    <row r="10" spans="1:8" ht="15.5" x14ac:dyDescent="0.35">
      <c r="A10" s="3" t="s">
        <v>7</v>
      </c>
    </row>
    <row r="11" spans="1:8" x14ac:dyDescent="0.35">
      <c r="A11" s="4" t="s">
        <v>8</v>
      </c>
      <c r="B11" s="4" t="s">
        <v>9</v>
      </c>
      <c r="C11" s="4" t="s">
        <v>10</v>
      </c>
    </row>
    <row r="12" spans="1:8" x14ac:dyDescent="0.35">
      <c r="A12" s="5" t="s">
        <v>11</v>
      </c>
      <c r="B12" s="5">
        <f>COUNTIF(Guidelines!$E$5:$E$22,A12)</f>
        <v>15</v>
      </c>
      <c r="C12" s="5">
        <f>COUNTIF('Failure scenarios'!$G$5:$G$18,A12)</f>
        <v>9</v>
      </c>
    </row>
    <row r="13" spans="1:8" x14ac:dyDescent="0.35">
      <c r="A13" s="5" t="s">
        <v>12</v>
      </c>
      <c r="B13" s="5">
        <f>COUNTIF(Guidelines!$E$5:$E$22,A13)</f>
        <v>1</v>
      </c>
      <c r="C13" s="5">
        <f>COUNTIF('Failure scenarios'!$G$5:$G$18,A13)</f>
        <v>3</v>
      </c>
    </row>
    <row r="14" spans="1:8" x14ac:dyDescent="0.35">
      <c r="A14" s="5" t="s">
        <v>13</v>
      </c>
      <c r="B14" s="5">
        <f>COUNTIF(Guidelines!$E$5:$E$22,A14)</f>
        <v>2</v>
      </c>
      <c r="C14" s="5">
        <f>COUNTIF('Failure scenarios'!$G$5:$G$18,A14)</f>
        <v>2</v>
      </c>
    </row>
    <row r="15" spans="1:8" x14ac:dyDescent="0.35">
      <c r="A15" s="6" t="s">
        <v>14</v>
      </c>
      <c r="B15" s="6">
        <f>SUM(B12:B14)</f>
        <v>18</v>
      </c>
      <c r="C15" s="6">
        <f>SUM(C12:C14)</f>
        <v>14</v>
      </c>
    </row>
    <row r="17" spans="1:8" ht="15.5" x14ac:dyDescent="0.35">
      <c r="A17" s="3" t="s">
        <v>15</v>
      </c>
    </row>
    <row r="18" spans="1:8" ht="16" customHeight="1" x14ac:dyDescent="0.35">
      <c r="A18" s="9" t="s">
        <v>16</v>
      </c>
      <c r="B18" s="10"/>
      <c r="C18" s="10"/>
      <c r="D18" s="10"/>
      <c r="E18" s="10"/>
      <c r="F18" s="10"/>
      <c r="G18" s="10"/>
      <c r="H18" s="10"/>
    </row>
    <row r="19" spans="1:8" ht="16" customHeight="1" x14ac:dyDescent="0.35">
      <c r="A19" s="9" t="s">
        <v>17</v>
      </c>
      <c r="B19" s="10"/>
      <c r="C19" s="10"/>
      <c r="D19" s="10"/>
      <c r="E19" s="10"/>
      <c r="F19" s="10"/>
      <c r="G19" s="10"/>
      <c r="H19" s="10"/>
    </row>
    <row r="20" spans="1:8" ht="16" customHeight="1" x14ac:dyDescent="0.35">
      <c r="A20" s="9" t="s">
        <v>18</v>
      </c>
      <c r="B20" s="10"/>
      <c r="C20" s="10"/>
      <c r="D20" s="10"/>
      <c r="E20" s="10"/>
      <c r="F20" s="10"/>
      <c r="G20" s="10"/>
      <c r="H20" s="10"/>
    </row>
    <row r="22" spans="1:8" ht="15.5" x14ac:dyDescent="0.35">
      <c r="A22" s="3" t="s">
        <v>19</v>
      </c>
    </row>
    <row r="23" spans="1:8" ht="16" customHeight="1" x14ac:dyDescent="0.35">
      <c r="A23" s="9" t="s">
        <v>20</v>
      </c>
      <c r="B23" s="10"/>
      <c r="C23" s="10"/>
      <c r="D23" s="10"/>
      <c r="E23" s="10"/>
      <c r="F23" s="10"/>
      <c r="G23" s="10"/>
      <c r="H23" s="10"/>
    </row>
    <row r="24" spans="1:8" ht="16" customHeight="1" x14ac:dyDescent="0.35">
      <c r="A24" s="9" t="s">
        <v>21</v>
      </c>
      <c r="B24" s="10"/>
      <c r="C24" s="10"/>
      <c r="D24" s="10"/>
      <c r="E24" s="10"/>
      <c r="F24" s="10"/>
      <c r="G24" s="10"/>
      <c r="H24" s="10"/>
    </row>
    <row r="25" spans="1:8" ht="16" customHeight="1" x14ac:dyDescent="0.35">
      <c r="A25" s="9" t="s">
        <v>22</v>
      </c>
      <c r="B25" s="10"/>
      <c r="C25" s="10"/>
      <c r="D25" s="10"/>
      <c r="E25" s="10"/>
      <c r="F25" s="10"/>
      <c r="G25" s="10"/>
      <c r="H25" s="10"/>
    </row>
  </sheetData>
  <mergeCells count="10">
    <mergeCell ref="A5:H5"/>
    <mergeCell ref="A23:H23"/>
    <mergeCell ref="A8:H8"/>
    <mergeCell ref="A6:H6"/>
    <mergeCell ref="A18:H18"/>
    <mergeCell ref="A7:H7"/>
    <mergeCell ref="A25:H25"/>
    <mergeCell ref="A20:H20"/>
    <mergeCell ref="A24:H24"/>
    <mergeCell ref="A19:H19"/>
  </mergeCells>
  <conditionalFormatting sqref="A12:A14">
    <cfRule type="cellIs" dxfId="8" priority="1" operator="equal">
      <formula>"Done"</formula>
    </cfRule>
    <cfRule type="cellIs" dxfId="7" priority="2" operator="equal">
      <formula>"Partial"</formula>
    </cfRule>
    <cfRule type="cellIs" dxfId="6" priority="3" operator="equal">
      <formula>"Gap"</formula>
    </cfRule>
  </conditionalFormatting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2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5" customWidth="1"/>
    <col min="2" max="2" width="16" customWidth="1"/>
    <col min="3" max="3" width="30" customWidth="1"/>
    <col min="4" max="5" width="10" customWidth="1"/>
    <col min="6" max="6" width="52" customWidth="1"/>
    <col min="7" max="7" width="44" customWidth="1"/>
    <col min="8" max="9" width="10" customWidth="1"/>
    <col min="10" max="10" width="14" customWidth="1"/>
    <col min="11" max="11" width="12" customWidth="1"/>
  </cols>
  <sheetData>
    <row r="1" spans="1:11" ht="20" x14ac:dyDescent="0.4">
      <c r="A1" s="1" t="s">
        <v>23</v>
      </c>
    </row>
    <row r="2" spans="1:11" x14ac:dyDescent="0.35">
      <c r="A2" s="2" t="s">
        <v>24</v>
      </c>
    </row>
    <row r="4" spans="1:11" x14ac:dyDescent="0.35">
      <c r="A4" s="4" t="s">
        <v>25</v>
      </c>
      <c r="B4" s="4" t="s">
        <v>26</v>
      </c>
      <c r="C4" s="4" t="s">
        <v>27</v>
      </c>
      <c r="D4" s="4" t="s">
        <v>28</v>
      </c>
      <c r="E4" s="4" t="s">
        <v>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</row>
    <row r="5" spans="1:11" ht="37.5" x14ac:dyDescent="0.35">
      <c r="A5" s="7">
        <v>1</v>
      </c>
      <c r="B5" s="7" t="s">
        <v>35</v>
      </c>
      <c r="C5" s="7" t="s">
        <v>36</v>
      </c>
      <c r="D5" s="8" t="s">
        <v>37</v>
      </c>
      <c r="E5" s="8" t="s">
        <v>11</v>
      </c>
      <c r="F5" s="7" t="s">
        <v>38</v>
      </c>
      <c r="G5" s="7" t="s">
        <v>39</v>
      </c>
      <c r="H5" s="8" t="s">
        <v>40</v>
      </c>
      <c r="I5" s="8" t="s">
        <v>41</v>
      </c>
      <c r="J5" s="8" t="s">
        <v>42</v>
      </c>
      <c r="K5" s="8" t="s">
        <v>43</v>
      </c>
    </row>
    <row r="6" spans="1:11" ht="25" x14ac:dyDescent="0.35">
      <c r="A6" s="7">
        <v>2</v>
      </c>
      <c r="B6" s="7" t="s">
        <v>35</v>
      </c>
      <c r="C6" s="7" t="s">
        <v>44</v>
      </c>
      <c r="D6" s="8" t="s">
        <v>37</v>
      </c>
      <c r="E6" s="8" t="s">
        <v>12</v>
      </c>
      <c r="F6" s="7" t="s">
        <v>45</v>
      </c>
      <c r="G6" s="7" t="s">
        <v>46</v>
      </c>
      <c r="H6" s="8" t="s">
        <v>40</v>
      </c>
      <c r="I6" s="8" t="s">
        <v>41</v>
      </c>
      <c r="J6" s="8" t="s">
        <v>47</v>
      </c>
      <c r="K6" s="8" t="s">
        <v>43</v>
      </c>
    </row>
    <row r="7" spans="1:11" ht="25" x14ac:dyDescent="0.35">
      <c r="A7" s="7">
        <v>3</v>
      </c>
      <c r="B7" s="7" t="s">
        <v>48</v>
      </c>
      <c r="C7" s="7" t="s">
        <v>49</v>
      </c>
      <c r="D7" s="8" t="s">
        <v>37</v>
      </c>
      <c r="E7" s="8" t="s">
        <v>11</v>
      </c>
      <c r="F7" s="7" t="s">
        <v>50</v>
      </c>
      <c r="G7" s="7" t="s">
        <v>51</v>
      </c>
      <c r="H7" s="8" t="s">
        <v>52</v>
      </c>
      <c r="I7" s="8" t="s">
        <v>52</v>
      </c>
      <c r="J7" s="8" t="s">
        <v>53</v>
      </c>
      <c r="K7" s="8" t="s">
        <v>43</v>
      </c>
    </row>
    <row r="8" spans="1:11" ht="25" x14ac:dyDescent="0.35">
      <c r="A8" s="7">
        <v>4</v>
      </c>
      <c r="B8" s="7" t="s">
        <v>48</v>
      </c>
      <c r="C8" s="7" t="s">
        <v>54</v>
      </c>
      <c r="D8" s="8" t="s">
        <v>37</v>
      </c>
      <c r="E8" s="8" t="s">
        <v>11</v>
      </c>
      <c r="F8" s="7" t="s">
        <v>55</v>
      </c>
      <c r="G8" s="7"/>
      <c r="H8" s="8" t="s">
        <v>52</v>
      </c>
      <c r="I8" s="8" t="s">
        <v>41</v>
      </c>
      <c r="J8" s="8"/>
      <c r="K8" s="8"/>
    </row>
    <row r="9" spans="1:11" ht="25" x14ac:dyDescent="0.35">
      <c r="A9" s="7">
        <v>5</v>
      </c>
      <c r="B9" s="7" t="s">
        <v>48</v>
      </c>
      <c r="C9" s="7" t="s">
        <v>56</v>
      </c>
      <c r="D9" s="8" t="s">
        <v>37</v>
      </c>
      <c r="E9" s="8" t="s">
        <v>11</v>
      </c>
      <c r="F9" s="7" t="s">
        <v>57</v>
      </c>
      <c r="G9" s="7" t="s">
        <v>58</v>
      </c>
      <c r="H9" s="8" t="s">
        <v>52</v>
      </c>
      <c r="I9" s="8" t="s">
        <v>41</v>
      </c>
      <c r="J9" s="8" t="s">
        <v>42</v>
      </c>
      <c r="K9" s="8" t="s">
        <v>59</v>
      </c>
    </row>
    <row r="10" spans="1:11" ht="25" x14ac:dyDescent="0.35">
      <c r="A10" s="7">
        <v>6</v>
      </c>
      <c r="B10" s="7" t="s">
        <v>48</v>
      </c>
      <c r="C10" s="7" t="s">
        <v>60</v>
      </c>
      <c r="D10" s="8" t="s">
        <v>37</v>
      </c>
      <c r="E10" s="8" t="s">
        <v>11</v>
      </c>
      <c r="F10" s="7" t="s">
        <v>61</v>
      </c>
      <c r="G10" s="7" t="s">
        <v>62</v>
      </c>
      <c r="H10" s="8" t="s">
        <v>40</v>
      </c>
      <c r="I10" s="8" t="s">
        <v>41</v>
      </c>
      <c r="J10" s="8" t="s">
        <v>63</v>
      </c>
      <c r="K10" s="8" t="s">
        <v>64</v>
      </c>
    </row>
    <row r="11" spans="1:11" ht="25" x14ac:dyDescent="0.35">
      <c r="A11" s="7">
        <v>7</v>
      </c>
      <c r="B11" s="7" t="s">
        <v>65</v>
      </c>
      <c r="C11" s="7" t="s">
        <v>66</v>
      </c>
      <c r="D11" s="8" t="s">
        <v>37</v>
      </c>
      <c r="E11" s="8" t="s">
        <v>11</v>
      </c>
      <c r="F11" s="7" t="s">
        <v>67</v>
      </c>
      <c r="G11" s="7"/>
      <c r="H11" s="8" t="s">
        <v>52</v>
      </c>
      <c r="I11" s="8" t="s">
        <v>41</v>
      </c>
      <c r="J11" s="8"/>
      <c r="K11" s="8"/>
    </row>
    <row r="12" spans="1:11" ht="25" x14ac:dyDescent="0.35">
      <c r="A12" s="7">
        <v>8</v>
      </c>
      <c r="B12" s="7" t="s">
        <v>65</v>
      </c>
      <c r="C12" s="7" t="s">
        <v>68</v>
      </c>
      <c r="D12" s="8" t="s">
        <v>37</v>
      </c>
      <c r="E12" s="8" t="s">
        <v>11</v>
      </c>
      <c r="F12" s="7" t="s">
        <v>69</v>
      </c>
      <c r="G12" s="7"/>
      <c r="H12" s="8" t="s">
        <v>52</v>
      </c>
      <c r="I12" s="8" t="s">
        <v>41</v>
      </c>
      <c r="J12" s="8"/>
      <c r="K12" s="8"/>
    </row>
    <row r="13" spans="1:11" ht="25" x14ac:dyDescent="0.35">
      <c r="A13" s="7">
        <v>9</v>
      </c>
      <c r="B13" s="7" t="s">
        <v>65</v>
      </c>
      <c r="C13" s="7" t="s">
        <v>70</v>
      </c>
      <c r="D13" s="8" t="s">
        <v>37</v>
      </c>
      <c r="E13" s="8" t="s">
        <v>11</v>
      </c>
      <c r="F13" s="7" t="s">
        <v>71</v>
      </c>
      <c r="G13" s="7"/>
      <c r="H13" s="8" t="s">
        <v>40</v>
      </c>
      <c r="I13" s="8" t="s">
        <v>41</v>
      </c>
      <c r="J13" s="8"/>
      <c r="K13" s="8"/>
    </row>
    <row r="14" spans="1:11" ht="25" x14ac:dyDescent="0.35">
      <c r="A14" s="7">
        <v>10</v>
      </c>
      <c r="B14" s="7" t="s">
        <v>65</v>
      </c>
      <c r="C14" s="7" t="s">
        <v>72</v>
      </c>
      <c r="D14" s="8" t="s">
        <v>37</v>
      </c>
      <c r="E14" s="8" t="s">
        <v>11</v>
      </c>
      <c r="F14" s="7" t="s">
        <v>73</v>
      </c>
      <c r="G14" s="7"/>
      <c r="H14" s="8" t="s">
        <v>40</v>
      </c>
      <c r="I14" s="8" t="s">
        <v>41</v>
      </c>
      <c r="J14" s="8"/>
      <c r="K14" s="8"/>
    </row>
    <row r="15" spans="1:11" ht="25" x14ac:dyDescent="0.35">
      <c r="A15" s="7">
        <v>11</v>
      </c>
      <c r="B15" s="7" t="s">
        <v>65</v>
      </c>
      <c r="C15" s="7" t="s">
        <v>74</v>
      </c>
      <c r="D15" s="8" t="s">
        <v>37</v>
      </c>
      <c r="E15" s="8" t="s">
        <v>11</v>
      </c>
      <c r="F15" s="7" t="s">
        <v>75</v>
      </c>
      <c r="G15" s="7"/>
      <c r="H15" s="8" t="s">
        <v>40</v>
      </c>
      <c r="I15" s="8" t="s">
        <v>41</v>
      </c>
      <c r="J15" s="8"/>
      <c r="K15" s="8"/>
    </row>
    <row r="16" spans="1:11" ht="25" x14ac:dyDescent="0.35">
      <c r="A16" s="7">
        <v>12</v>
      </c>
      <c r="B16" s="7" t="s">
        <v>76</v>
      </c>
      <c r="C16" s="7" t="s">
        <v>77</v>
      </c>
      <c r="D16" s="8" t="s">
        <v>37</v>
      </c>
      <c r="E16" s="8" t="s">
        <v>11</v>
      </c>
      <c r="F16" s="7" t="s">
        <v>78</v>
      </c>
      <c r="G16" s="7"/>
      <c r="H16" s="8" t="s">
        <v>41</v>
      </c>
      <c r="I16" s="8" t="s">
        <v>41</v>
      </c>
      <c r="J16" s="8"/>
      <c r="K16" s="8"/>
    </row>
    <row r="17" spans="1:11" ht="37.5" x14ac:dyDescent="0.35">
      <c r="A17" s="7">
        <v>13</v>
      </c>
      <c r="B17" s="7" t="s">
        <v>76</v>
      </c>
      <c r="C17" s="7" t="s">
        <v>79</v>
      </c>
      <c r="D17" s="8" t="s">
        <v>37</v>
      </c>
      <c r="E17" s="8" t="s">
        <v>13</v>
      </c>
      <c r="F17" s="7" t="s">
        <v>80</v>
      </c>
      <c r="G17" s="7" t="s">
        <v>81</v>
      </c>
      <c r="H17" s="8" t="s">
        <v>40</v>
      </c>
      <c r="I17" s="8" t="s">
        <v>52</v>
      </c>
      <c r="J17" s="8" t="s">
        <v>47</v>
      </c>
      <c r="K17" s="8" t="s">
        <v>82</v>
      </c>
    </row>
    <row r="18" spans="1:11" ht="25" x14ac:dyDescent="0.35">
      <c r="A18" s="7">
        <v>14</v>
      </c>
      <c r="B18" s="7" t="s">
        <v>76</v>
      </c>
      <c r="C18" s="7" t="s">
        <v>83</v>
      </c>
      <c r="D18" s="8" t="s">
        <v>37</v>
      </c>
      <c r="E18" s="8" t="s">
        <v>11</v>
      </c>
      <c r="F18" s="7" t="s">
        <v>84</v>
      </c>
      <c r="G18" s="7" t="s">
        <v>85</v>
      </c>
      <c r="H18" s="8" t="s">
        <v>40</v>
      </c>
      <c r="I18" s="8" t="s">
        <v>41</v>
      </c>
      <c r="J18" s="8" t="s">
        <v>53</v>
      </c>
      <c r="K18" s="8" t="s">
        <v>59</v>
      </c>
    </row>
    <row r="19" spans="1:11" ht="25" x14ac:dyDescent="0.35">
      <c r="A19" s="7">
        <v>15</v>
      </c>
      <c r="B19" s="7" t="s">
        <v>76</v>
      </c>
      <c r="C19" s="7" t="s">
        <v>86</v>
      </c>
      <c r="D19" s="8" t="s">
        <v>37</v>
      </c>
      <c r="E19" s="8" t="s">
        <v>11</v>
      </c>
      <c r="F19" s="7" t="s">
        <v>87</v>
      </c>
      <c r="G19" s="7" t="s">
        <v>88</v>
      </c>
      <c r="H19" s="8" t="s">
        <v>52</v>
      </c>
      <c r="I19" s="8" t="s">
        <v>41</v>
      </c>
      <c r="J19" s="8" t="s">
        <v>42</v>
      </c>
      <c r="K19" s="8" t="s">
        <v>59</v>
      </c>
    </row>
    <row r="20" spans="1:11" ht="25" x14ac:dyDescent="0.35">
      <c r="A20" s="7">
        <v>16</v>
      </c>
      <c r="B20" s="7" t="s">
        <v>76</v>
      </c>
      <c r="C20" s="7" t="s">
        <v>89</v>
      </c>
      <c r="D20" s="8" t="s">
        <v>37</v>
      </c>
      <c r="E20" s="8" t="s">
        <v>11</v>
      </c>
      <c r="F20" s="7" t="s">
        <v>90</v>
      </c>
      <c r="G20" s="7"/>
      <c r="H20" s="8" t="s">
        <v>40</v>
      </c>
      <c r="I20" s="8" t="s">
        <v>41</v>
      </c>
      <c r="J20" s="8"/>
      <c r="K20" s="8"/>
    </row>
    <row r="21" spans="1:11" ht="25" x14ac:dyDescent="0.35">
      <c r="A21" s="7">
        <v>17</v>
      </c>
      <c r="B21" s="7" t="s">
        <v>76</v>
      </c>
      <c r="C21" s="7" t="s">
        <v>91</v>
      </c>
      <c r="D21" s="8" t="s">
        <v>37</v>
      </c>
      <c r="E21" s="8" t="s">
        <v>11</v>
      </c>
      <c r="F21" s="7" t="s">
        <v>92</v>
      </c>
      <c r="G21" s="7"/>
      <c r="H21" s="8" t="s">
        <v>40</v>
      </c>
      <c r="I21" s="8" t="s">
        <v>41</v>
      </c>
      <c r="J21" s="8"/>
      <c r="K21" s="8"/>
    </row>
    <row r="22" spans="1:11" ht="25" x14ac:dyDescent="0.35">
      <c r="A22" s="7">
        <v>18</v>
      </c>
      <c r="B22" s="7" t="s">
        <v>76</v>
      </c>
      <c r="C22" s="7" t="s">
        <v>93</v>
      </c>
      <c r="D22" s="8" t="s">
        <v>37</v>
      </c>
      <c r="E22" s="8" t="s">
        <v>13</v>
      </c>
      <c r="F22" s="7" t="s">
        <v>94</v>
      </c>
      <c r="G22" s="7" t="s">
        <v>95</v>
      </c>
      <c r="H22" s="8" t="s">
        <v>52</v>
      </c>
      <c r="I22" s="8" t="s">
        <v>41</v>
      </c>
      <c r="J22" s="8" t="s">
        <v>96</v>
      </c>
      <c r="K22" s="8" t="s">
        <v>59</v>
      </c>
    </row>
  </sheetData>
  <conditionalFormatting sqref="E5:E22">
    <cfRule type="cellIs" dxfId="5" priority="1" operator="equal">
      <formula>"Done"</formula>
    </cfRule>
    <cfRule type="cellIs" dxfId="4" priority="2" operator="equal">
      <formula>"Partial"</formula>
    </cfRule>
    <cfRule type="cellIs" dxfId="3" priority="3" operator="equal">
      <formula>"Gap"</formula>
    </cfRule>
  </conditionalFormatting>
  <dataValidations count="3">
    <dataValidation type="list" allowBlank="1" sqref="E5:E22" xr:uid="{00000000-0002-0000-0100-000000000000}">
      <formula1>"Done,Partial,Gap,Not applicable"</formula1>
    </dataValidation>
    <dataValidation type="list" allowBlank="1" sqref="H5:I22" xr:uid="{00000000-0002-0000-0100-000001000000}">
      <formula1>"High,Medium,Low"</formula1>
    </dataValidation>
    <dataValidation type="list" allowBlank="1" sqref="D5:D22" xr:uid="{00000000-0002-0000-0100-000002000000}">
      <formula1>"Yes,No"</formula1>
    </dataValidation>
  </dataValidation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8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5" customWidth="1"/>
    <col min="2" max="2" width="14" customWidth="1"/>
    <col min="3" max="3" width="34" customWidth="1"/>
    <col min="4" max="5" width="36" customWidth="1"/>
    <col min="6" max="6" width="42" customWidth="1"/>
    <col min="7" max="7" width="10" customWidth="1"/>
    <col min="8" max="8" width="18" customWidth="1"/>
  </cols>
  <sheetData>
    <row r="1" spans="1:8" ht="20" x14ac:dyDescent="0.4">
      <c r="A1" s="1" t="s">
        <v>97</v>
      </c>
    </row>
    <row r="2" spans="1:8" x14ac:dyDescent="0.35">
      <c r="A2" s="2" t="s">
        <v>98</v>
      </c>
    </row>
    <row r="4" spans="1:8" x14ac:dyDescent="0.35">
      <c r="A4" s="4" t="s">
        <v>25</v>
      </c>
      <c r="B4" s="4" t="s">
        <v>99</v>
      </c>
      <c r="C4" s="4" t="s">
        <v>100</v>
      </c>
      <c r="D4" s="4" t="s">
        <v>101</v>
      </c>
      <c r="E4" s="4" t="s">
        <v>102</v>
      </c>
      <c r="F4" s="4" t="s">
        <v>103</v>
      </c>
      <c r="G4" s="4" t="s">
        <v>8</v>
      </c>
      <c r="H4" s="4" t="s">
        <v>104</v>
      </c>
    </row>
    <row r="5" spans="1:8" ht="25" x14ac:dyDescent="0.35">
      <c r="A5" s="7">
        <v>1</v>
      </c>
      <c r="B5" s="7" t="s">
        <v>105</v>
      </c>
      <c r="C5" s="7" t="s">
        <v>106</v>
      </c>
      <c r="D5" s="7" t="s">
        <v>107</v>
      </c>
      <c r="E5" s="7" t="s">
        <v>108</v>
      </c>
      <c r="F5" s="7" t="s">
        <v>109</v>
      </c>
      <c r="G5" s="8" t="s">
        <v>13</v>
      </c>
      <c r="H5" s="8" t="s">
        <v>110</v>
      </c>
    </row>
    <row r="6" spans="1:8" ht="25" x14ac:dyDescent="0.35">
      <c r="A6" s="7">
        <v>2</v>
      </c>
      <c r="B6" s="7" t="s">
        <v>105</v>
      </c>
      <c r="C6" s="7" t="s">
        <v>111</v>
      </c>
      <c r="D6" s="7" t="s">
        <v>112</v>
      </c>
      <c r="E6" s="7" t="s">
        <v>113</v>
      </c>
      <c r="F6" s="7" t="s">
        <v>114</v>
      </c>
      <c r="G6" s="8" t="s">
        <v>12</v>
      </c>
      <c r="H6" s="8" t="s">
        <v>110</v>
      </c>
    </row>
    <row r="7" spans="1:8" ht="25" x14ac:dyDescent="0.35">
      <c r="A7" s="7">
        <v>3</v>
      </c>
      <c r="B7" s="7" t="s">
        <v>115</v>
      </c>
      <c r="C7" s="7" t="s">
        <v>116</v>
      </c>
      <c r="D7" s="7" t="s">
        <v>117</v>
      </c>
      <c r="E7" s="7" t="s">
        <v>118</v>
      </c>
      <c r="F7" s="7" t="s">
        <v>119</v>
      </c>
      <c r="G7" s="8" t="s">
        <v>12</v>
      </c>
      <c r="H7" s="8" t="s">
        <v>110</v>
      </c>
    </row>
    <row r="8" spans="1:8" ht="25" x14ac:dyDescent="0.35">
      <c r="A8" s="7">
        <v>4</v>
      </c>
      <c r="B8" s="7" t="s">
        <v>120</v>
      </c>
      <c r="C8" s="7" t="s">
        <v>121</v>
      </c>
      <c r="D8" s="7" t="s">
        <v>122</v>
      </c>
      <c r="E8" s="7" t="s">
        <v>123</v>
      </c>
      <c r="F8" s="7" t="s">
        <v>124</v>
      </c>
      <c r="G8" s="8" t="s">
        <v>11</v>
      </c>
      <c r="H8" s="8" t="s">
        <v>110</v>
      </c>
    </row>
    <row r="9" spans="1:8" ht="25" x14ac:dyDescent="0.35">
      <c r="A9" s="7">
        <v>5</v>
      </c>
      <c r="B9" s="7" t="s">
        <v>120</v>
      </c>
      <c r="C9" s="7" t="s">
        <v>125</v>
      </c>
      <c r="D9" s="7" t="s">
        <v>126</v>
      </c>
      <c r="E9" s="7" t="s">
        <v>127</v>
      </c>
      <c r="F9" s="7" t="s">
        <v>128</v>
      </c>
      <c r="G9" s="8" t="s">
        <v>11</v>
      </c>
      <c r="H9" s="8" t="s">
        <v>110</v>
      </c>
    </row>
    <row r="10" spans="1:8" ht="25" x14ac:dyDescent="0.35">
      <c r="A10" s="7">
        <v>6</v>
      </c>
      <c r="B10" s="7" t="s">
        <v>129</v>
      </c>
      <c r="C10" s="7" t="s">
        <v>130</v>
      </c>
      <c r="D10" s="7" t="s">
        <v>131</v>
      </c>
      <c r="E10" s="7" t="s">
        <v>132</v>
      </c>
      <c r="F10" s="7" t="s">
        <v>133</v>
      </c>
      <c r="G10" s="8" t="s">
        <v>11</v>
      </c>
      <c r="H10" s="8" t="s">
        <v>110</v>
      </c>
    </row>
    <row r="11" spans="1:8" ht="25" x14ac:dyDescent="0.35">
      <c r="A11" s="7">
        <v>7</v>
      </c>
      <c r="B11" s="7" t="s">
        <v>129</v>
      </c>
      <c r="C11" s="7" t="s">
        <v>134</v>
      </c>
      <c r="D11" s="7" t="s">
        <v>135</v>
      </c>
      <c r="E11" s="7" t="s">
        <v>136</v>
      </c>
      <c r="F11" s="7" t="s">
        <v>137</v>
      </c>
      <c r="G11" s="8" t="s">
        <v>11</v>
      </c>
      <c r="H11" s="8" t="s">
        <v>110</v>
      </c>
    </row>
    <row r="12" spans="1:8" ht="25" x14ac:dyDescent="0.35">
      <c r="A12" s="7">
        <v>8</v>
      </c>
      <c r="B12" s="7" t="s">
        <v>138</v>
      </c>
      <c r="C12" s="7" t="s">
        <v>139</v>
      </c>
      <c r="D12" s="7" t="s">
        <v>140</v>
      </c>
      <c r="E12" s="7" t="s">
        <v>141</v>
      </c>
      <c r="F12" s="7" t="s">
        <v>142</v>
      </c>
      <c r="G12" s="8" t="s">
        <v>11</v>
      </c>
      <c r="H12" s="8" t="s">
        <v>110</v>
      </c>
    </row>
    <row r="13" spans="1:8" x14ac:dyDescent="0.35">
      <c r="A13" s="7">
        <v>9</v>
      </c>
      <c r="B13" s="7" t="s">
        <v>105</v>
      </c>
      <c r="C13" s="7" t="s">
        <v>143</v>
      </c>
      <c r="D13" s="7" t="s">
        <v>144</v>
      </c>
      <c r="E13" s="7" t="s">
        <v>145</v>
      </c>
      <c r="F13" s="7" t="s">
        <v>146</v>
      </c>
      <c r="G13" s="8" t="s">
        <v>13</v>
      </c>
      <c r="H13" s="8" t="s">
        <v>110</v>
      </c>
    </row>
    <row r="14" spans="1:8" ht="25" x14ac:dyDescent="0.35">
      <c r="A14" s="7">
        <v>10</v>
      </c>
      <c r="B14" s="7" t="s">
        <v>105</v>
      </c>
      <c r="C14" s="7" t="s">
        <v>147</v>
      </c>
      <c r="D14" s="7" t="s">
        <v>148</v>
      </c>
      <c r="E14" s="7" t="s">
        <v>149</v>
      </c>
      <c r="F14" s="7" t="s">
        <v>150</v>
      </c>
      <c r="G14" s="8" t="s">
        <v>12</v>
      </c>
      <c r="H14" s="8" t="s">
        <v>110</v>
      </c>
    </row>
    <row r="15" spans="1:8" ht="25" x14ac:dyDescent="0.35">
      <c r="A15" s="7">
        <v>11</v>
      </c>
      <c r="B15" s="7" t="s">
        <v>151</v>
      </c>
      <c r="C15" s="7" t="s">
        <v>152</v>
      </c>
      <c r="D15" s="7" t="s">
        <v>153</v>
      </c>
      <c r="E15" s="7" t="s">
        <v>154</v>
      </c>
      <c r="F15" s="7" t="s">
        <v>155</v>
      </c>
      <c r="G15" s="8" t="s">
        <v>11</v>
      </c>
      <c r="H15" s="8" t="s">
        <v>110</v>
      </c>
    </row>
    <row r="16" spans="1:8" ht="25" x14ac:dyDescent="0.35">
      <c r="A16" s="7">
        <v>12</v>
      </c>
      <c r="B16" s="7" t="s">
        <v>151</v>
      </c>
      <c r="C16" s="7" t="s">
        <v>156</v>
      </c>
      <c r="D16" s="7" t="s">
        <v>157</v>
      </c>
      <c r="E16" s="7" t="s">
        <v>158</v>
      </c>
      <c r="F16" s="7" t="s">
        <v>159</v>
      </c>
      <c r="G16" s="8" t="s">
        <v>11</v>
      </c>
      <c r="H16" s="8" t="s">
        <v>110</v>
      </c>
    </row>
    <row r="17" spans="1:8" ht="25" x14ac:dyDescent="0.35">
      <c r="A17" s="7">
        <v>13</v>
      </c>
      <c r="B17" s="7" t="s">
        <v>151</v>
      </c>
      <c r="C17" s="7" t="s">
        <v>160</v>
      </c>
      <c r="D17" s="7" t="s">
        <v>161</v>
      </c>
      <c r="E17" s="7" t="s">
        <v>162</v>
      </c>
      <c r="F17" s="7" t="s">
        <v>163</v>
      </c>
      <c r="G17" s="8" t="s">
        <v>11</v>
      </c>
      <c r="H17" s="8" t="s">
        <v>110</v>
      </c>
    </row>
    <row r="18" spans="1:8" ht="25" x14ac:dyDescent="0.35">
      <c r="A18" s="7">
        <v>14</v>
      </c>
      <c r="B18" s="7" t="s">
        <v>164</v>
      </c>
      <c r="C18" s="7" t="s">
        <v>165</v>
      </c>
      <c r="D18" s="7" t="s">
        <v>166</v>
      </c>
      <c r="E18" s="7" t="s">
        <v>167</v>
      </c>
      <c r="F18" s="7" t="s">
        <v>168</v>
      </c>
      <c r="G18" s="8" t="s">
        <v>11</v>
      </c>
      <c r="H18" s="8" t="s">
        <v>110</v>
      </c>
    </row>
  </sheetData>
  <conditionalFormatting sqref="G5:G18">
    <cfRule type="cellIs" dxfId="2" priority="1" operator="equal">
      <formula>"Done"</formula>
    </cfRule>
    <cfRule type="cellIs" dxfId="1" priority="2" operator="equal">
      <formula>"Partial"</formula>
    </cfRule>
    <cfRule type="cellIs" dxfId="0" priority="3" operator="equal">
      <formula>"Gap"</formula>
    </cfRule>
  </conditionalFormatting>
  <dataValidations count="1">
    <dataValidation type="list" allowBlank="1" sqref="G5:G18" xr:uid="{00000000-0002-0000-0200-000000000000}">
      <formula1>"Done,Partial,Gap"</formula1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Guidelines</vt:lpstr>
      <vt:lpstr>Failure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Pankaj Mehta</cp:lastModifiedBy>
  <dcterms:created xsi:type="dcterms:W3CDTF">2026-10-10T14:25:58Z</dcterms:created>
  <dcterms:modified xsi:type="dcterms:W3CDTF">2026-10-10T14:26:01Z</dcterms:modified>
</cp:coreProperties>
</file>